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WOT Weighted Assessment" sheetId="2" state="visible" r:id="rId2"/>
    <sheet xmlns:r="http://schemas.openxmlformats.org/officeDocument/2006/relationships" name="TOWS Cross-Impact Matrix" sheetId="3" state="visible" r:id="rId3"/>
    <sheet xmlns:r="http://schemas.openxmlformats.org/officeDocument/2006/relationships" name="Action Plan (SO, WO, ST, W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0;-0.00;0.00"/>
    <numFmt numFmtId="166" formatCode="€#,##0"/>
  </numFmts>
  <fonts count="3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065F46"/>
      <sz val="11"/>
    </font>
    <font>
      <name val="Segoe UI"/>
      <b val="1"/>
      <color rgb="00FFFFFF"/>
      <sz val="10"/>
    </font>
    <font>
      <name val="Consolas"/>
      <b val="1"/>
      <color rgb="002563EB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65F46"/>
      <sz val="10"/>
    </font>
    <font>
      <name val="Segoe UI"/>
      <b val="1"/>
      <color rgb="0092400E"/>
      <sz val="11"/>
    </font>
    <font>
      <name val="Segoe UI"/>
      <b val="1"/>
      <color rgb="0092400E"/>
      <sz val="10"/>
    </font>
    <font>
      <name val="Segoe UI"/>
      <b val="1"/>
      <color rgb="001E40AF"/>
      <sz val="11"/>
    </font>
    <font>
      <name val="Segoe UI"/>
      <b val="1"/>
      <color rgb="001E40AF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0F172A"/>
      <sz val="11"/>
    </font>
    <font>
      <name val="Segoe UI"/>
      <b val="1"/>
      <color rgb="002563EB"/>
      <sz val="11"/>
    </font>
    <font>
      <name val="Segoe UI"/>
      <color rgb="000F172A"/>
      <sz val="10"/>
    </font>
    <font>
      <name val="Segoe UI"/>
      <b val="1"/>
      <color rgb="0092400E"/>
      <sz val="9"/>
    </font>
    <font>
      <name val="Segoe UI"/>
      <b val="1"/>
      <color rgb="00065F46"/>
      <sz val="9"/>
    </font>
    <font>
      <name val="Segoe UI"/>
      <b val="1"/>
      <color rgb="00991B1B"/>
      <sz val="9"/>
    </font>
    <font>
      <name val="Segoe UI"/>
      <b val="1"/>
      <color rgb="001E40AF"/>
      <sz val="9"/>
    </font>
    <font>
      <name val="Segoe UI"/>
      <b val="1"/>
      <color rgb="0064748B"/>
      <sz val="8"/>
    </font>
    <font>
      <name val="Consolas"/>
      <b val="1"/>
      <color rgb="001E40AF"/>
      <sz val="9"/>
    </font>
    <font>
      <name val="Consolas"/>
      <b val="1"/>
      <color rgb="00991B1B"/>
      <sz val="9"/>
    </font>
    <font>
      <name val="Segoe UI"/>
      <b val="1"/>
      <color rgb="00065F46"/>
      <sz val="16"/>
    </font>
    <font>
      <name val="Segoe UI"/>
      <b val="1"/>
      <color rgb="001E40AF"/>
      <sz val="16"/>
    </font>
    <font>
      <name val="Segoe UI"/>
      <b val="1"/>
      <color rgb="0092400E"/>
      <sz val="16"/>
    </font>
    <font>
      <name val="Segoe UI"/>
      <b val="1"/>
      <color rgb="00991B1B"/>
      <sz val="16"/>
    </font>
    <font>
      <name val="Segoe UI"/>
      <b val="1"/>
      <color rgb="00FFFFFF"/>
      <sz val="11"/>
    </font>
    <font>
      <name val="Segoe UI"/>
      <b val="1"/>
      <color rgb="00FEF08A"/>
      <sz val="12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FEF08A"/>
        <bgColor rgb="00FEF08A"/>
      </patternFill>
    </fill>
  </fills>
  <borders count="5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94A3B8"/>
      </top>
      <bottom style="double">
        <color rgb="000F172A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6" borderId="2" applyAlignment="1" pivotButton="0" quotePrefix="0" xfId="0">
      <alignment horizontal="left" vertical="center" wrapText="1"/>
    </xf>
    <xf numFmtId="2" fontId="3" fillId="3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2" fontId="9" fillId="8" borderId="2" applyAlignment="1" pivotButton="0" quotePrefix="0" xfId="0">
      <alignment horizontal="center" vertical="center"/>
    </xf>
    <xf numFmtId="2" fontId="11" fillId="9" borderId="2" applyAlignment="1" pivotButton="0" quotePrefix="0" xfId="0">
      <alignment horizontal="center" vertical="center"/>
    </xf>
    <xf numFmtId="2" fontId="13" fillId="1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center" vertical="center" wrapText="1"/>
    </xf>
    <xf numFmtId="0" fontId="21" fillId="9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165" fontId="16" fillId="7" borderId="2" applyAlignment="1" pivotButton="0" quotePrefix="0" xfId="0">
      <alignment horizontal="center" vertical="center"/>
    </xf>
    <xf numFmtId="2" fontId="16" fillId="7" borderId="2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applyProtection="1" pivotButton="0" quotePrefix="0" xfId="0">
      <alignment horizontal="center" vertical="center"/>
      <protection locked="0" hidden="0"/>
    </xf>
    <xf numFmtId="0" fontId="6" fillId="5" borderId="2" applyAlignment="1" applyProtection="1" pivotButton="0" quotePrefix="0" xfId="0">
      <alignment horizontal="left" vertical="center" wrapText="1"/>
      <protection locked="0" hidden="0"/>
    </xf>
    <xf numFmtId="164" fontId="6" fillId="5" borderId="2" applyAlignment="1" applyProtection="1" pivotButton="0" quotePrefix="0" xfId="0">
      <alignment horizontal="center" vertical="center"/>
      <protection locked="0" hidden="0"/>
    </xf>
    <xf numFmtId="1" fontId="6" fillId="5" borderId="2" applyAlignment="1" applyProtection="1" pivotButton="0" quotePrefix="0" xfId="0">
      <alignment horizontal="center" vertical="center"/>
      <protection locked="0" hidden="0"/>
    </xf>
    <xf numFmtId="2" fontId="7" fillId="6" borderId="2" applyAlignment="1" pivotButton="0" quotePrefix="0" xfId="0">
      <alignment horizontal="center" vertical="center"/>
    </xf>
    <xf numFmtId="0" fontId="0" fillId="0" borderId="3" pivotButton="0" quotePrefix="0" xfId="0"/>
    <xf numFmtId="0" fontId="7" fillId="7" borderId="3" applyAlignment="1" pivotButton="0" quotePrefix="0" xfId="0">
      <alignment horizontal="right" vertical="center"/>
    </xf>
    <xf numFmtId="164" fontId="8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 wrapText="1"/>
    </xf>
    <xf numFmtId="2" fontId="3" fillId="7" borderId="3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center" vertical="center"/>
    </xf>
    <xf numFmtId="2" fontId="9" fillId="7" borderId="3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164" fontId="12" fillId="7" borderId="3" applyAlignment="1" pivotButton="0" quotePrefix="0" xfId="0">
      <alignment horizontal="center" vertical="center"/>
    </xf>
    <xf numFmtId="2" fontId="11" fillId="7" borderId="3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 wrapText="1"/>
    </xf>
    <xf numFmtId="164" fontId="14" fillId="7" borderId="3" applyAlignment="1" pivotButton="0" quotePrefix="0" xfId="0">
      <alignment horizontal="center" vertical="center"/>
    </xf>
    <xf numFmtId="2" fontId="13" fillId="7" borderId="3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23" fillId="9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6" fillId="5" borderId="2" applyAlignment="1" applyProtection="1" pivotButton="0" quotePrefix="0" xfId="0">
      <alignment horizontal="center" vertical="center"/>
      <protection locked="0" hidden="0"/>
    </xf>
    <xf numFmtId="0" fontId="7" fillId="6" borderId="2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center" vertical="center"/>
    </xf>
    <xf numFmtId="0" fontId="16" fillId="7" borderId="3" applyAlignment="1" pivotButton="0" quotePrefix="0" xfId="0">
      <alignment horizontal="center" vertical="center"/>
    </xf>
    <xf numFmtId="0" fontId="25" fillId="3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7" fillId="8" borderId="2" applyAlignment="1" pivotButton="0" quotePrefix="0" xfId="0">
      <alignment horizontal="center" vertical="center"/>
    </xf>
    <xf numFmtId="0" fontId="28" fillId="10" borderId="2" applyAlignment="1" pivotButton="0" quotePrefix="0" xfId="0">
      <alignment horizontal="center" vertical="center"/>
    </xf>
    <xf numFmtId="0" fontId="7" fillId="5" borderId="2" applyAlignment="1" applyProtection="1" pivotButton="0" quotePrefix="0" xfId="0">
      <alignment horizontal="center" vertical="center"/>
      <protection locked="0" hidden="0"/>
    </xf>
    <xf numFmtId="166" fontId="6" fillId="5" borderId="2" applyAlignment="1" applyProtection="1" pivotButton="0" quotePrefix="0" xfId="0">
      <alignment horizontal="center" vertical="center"/>
      <protection locked="0" hidden="0"/>
    </xf>
    <xf numFmtId="166" fontId="7" fillId="7" borderId="3" applyAlignment="1" pivotButton="0" quotePrefix="0" xfId="0">
      <alignment horizontal="center" vertical="center"/>
    </xf>
    <xf numFmtId="0" fontId="29" fillId="2" borderId="0" applyAlignment="1" pivotButton="0" quotePrefix="0" xfId="0">
      <alignment horizontal="right" vertical="center" wrapText="1"/>
    </xf>
    <xf numFmtId="166" fontId="29" fillId="2" borderId="3" applyAlignment="1" pivotButton="0" quotePrefix="0" xfId="0">
      <alignment horizontal="center" vertical="center"/>
    </xf>
    <xf numFmtId="166" fontId="30" fillId="2" borderId="3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Cartesian Strategic Positioning Matrix (X, Y)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14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solidFill>
                  <a:srgbClr val="0F172A"/>
                </a:solidFill>
                <a:prstDash val="solid"/>
              </a:ln>
            </spPr>
          </marker>
          <xVal>
            <numRef>
              <f>'Executive Dashboard'!$C$12</f>
            </numRef>
          </xVal>
          <yVal>
            <numRef>
              <f>'Executive Dashboard'!$C$13</f>
            </numRef>
          </yVal>
        </ser>
        <axId val="10"/>
        <axId val="20"/>
      </scatterChart>
      <valAx>
        <axId val="10"/>
        <scaling>
          <orientation val="minMax"/>
          <max val="5"/>
          <min val="-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Internal Position (X = S - 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"/>
          <min val="-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External Pressure (Y = O - 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4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2" ht="36" customHeight="1">
      <c r="A2" s="1" t="inlineStr">
        <is>
          <t>DATALARIA | EXECUTIVE DECISION PACK - STRATEGIC DASHBOARD</t>
        </is>
      </c>
    </row>
    <row r="3" ht="24" customHeight="1">
      <c r="A3" s="2" t="inlineStr">
        <is>
          <t>Real-time quantitative C-Level diagnosis for Board meetings. Vector-based decision modeling.</t>
        </is>
      </c>
    </row>
    <row r="5" ht="26" customHeight="1">
      <c r="A5" s="3" t="inlineStr">
        <is>
          <t>1. EXECUTIVE SUMMARY OF QUANTITATIVE SCORES</t>
        </is>
      </c>
      <c r="E5" s="4" t="inlineStr">
        <is>
          <t>CARTESIAN MATRIX POSITIONING</t>
        </is>
      </c>
    </row>
    <row r="6" ht="24" customHeight="1">
      <c r="A6" s="5" t="inlineStr"/>
      <c r="B6" s="6" t="inlineStr">
        <is>
          <t>Total Strengths Score (SS)</t>
        </is>
      </c>
      <c r="C6" s="7">
        <f>'SWOT Weighted Assessment'!F17</f>
        <v/>
      </c>
      <c r="E6" s="8" t="inlineStr">
        <is>
          <t>REORIENTATION / TURNAROUND (Mini-Maxi)
X &lt; 0 (Weaknesses dominate)
Y ≥ 0 (High opportunities)</t>
        </is>
      </c>
      <c r="F6" s="8" t="n"/>
      <c r="G6" s="9" t="inlineStr">
        <is>
          <t>OFFENSIVE / EXPANSION (Maxi-Maxi)
X ≥ 0 (Strengths dominate)
Y ≥ 0 (High opportunities)</t>
        </is>
      </c>
      <c r="H6" s="9" t="n"/>
    </row>
    <row r="7" ht="24" customHeight="1">
      <c r="A7" s="5" t="inlineStr"/>
      <c r="B7" s="6" t="inlineStr">
        <is>
          <t>Total Weaknesses Score (SW)</t>
        </is>
      </c>
      <c r="C7" s="10">
        <f>'SWOT Weighted Assessment'!F32</f>
        <v/>
      </c>
      <c r="E7" s="8" t="n"/>
      <c r="F7" s="8" t="n"/>
      <c r="G7" s="9" t="n"/>
      <c r="H7" s="9" t="n"/>
    </row>
    <row r="8" ht="24" customHeight="1">
      <c r="A8" s="5" t="inlineStr"/>
      <c r="B8" s="6" t="inlineStr">
        <is>
          <t>Total Opportunities Score (SO)</t>
        </is>
      </c>
      <c r="C8" s="11">
        <f>'SWOT Weighted Assessment'!F47</f>
        <v/>
      </c>
      <c r="E8" s="8" t="n"/>
      <c r="F8" s="8" t="n"/>
      <c r="G8" s="9" t="n"/>
      <c r="H8" s="9" t="n"/>
    </row>
    <row r="9" ht="24" customHeight="1">
      <c r="A9" s="5" t="inlineStr"/>
      <c r="B9" s="6" t="inlineStr">
        <is>
          <t>Total Threats Score (ST)</t>
        </is>
      </c>
      <c r="C9" s="12">
        <f>'SWOT Weighted Assessment'!F62</f>
        <v/>
      </c>
      <c r="E9" s="8" t="n"/>
      <c r="F9" s="8" t="n"/>
      <c r="G9" s="9" t="n"/>
      <c r="H9" s="9" t="n"/>
    </row>
    <row r="10" ht="20" customHeight="1">
      <c r="E10" s="13" t="inlineStr">
        <is>
          <t>◄── INTERNAL: WEAKNESSES (-X)  |  STRENGTHS (+X) ──►</t>
        </is>
      </c>
    </row>
    <row r="11" ht="26" customHeight="1">
      <c r="A11" s="3" t="inlineStr">
        <is>
          <t>2. STRATEGIC FORCE VECTOR &amp; DOMINANT POSTURE</t>
        </is>
      </c>
      <c r="E11" s="14" t="inlineStr">
        <is>
          <t>SURVIVAL / RESTRUCTURING (Mini-Mini)
X &lt; 0 (Weaknesses dominate)
Y &lt; 0 (Critical threats)</t>
        </is>
      </c>
      <c r="F11" s="14" t="n"/>
      <c r="G11" s="15" t="inlineStr">
        <is>
          <t>DEFENSIVE / FORTRESS (Maxi-Mini)
X ≥ 0 (Strengths dominate)
Y &lt; 0 (Critical threats)</t>
        </is>
      </c>
      <c r="H11" s="15" t="n"/>
    </row>
    <row r="12" ht="24" customHeight="1">
      <c r="A12" s="5" t="inlineStr"/>
      <c r="B12" s="16" t="inlineStr">
        <is>
          <t>Net Internal Position (X = SS - SW)</t>
        </is>
      </c>
      <c r="C12" s="17">
        <f>C6-C7</f>
        <v/>
      </c>
      <c r="E12" s="14" t="n"/>
      <c r="F12" s="14" t="n"/>
      <c r="G12" s="15" t="n"/>
      <c r="H12" s="15" t="n"/>
    </row>
    <row r="13" ht="24" customHeight="1">
      <c r="A13" s="5" t="inlineStr"/>
      <c r="B13" s="16" t="inlineStr">
        <is>
          <t>Net External Pressure (Y = SO - ST)</t>
        </is>
      </c>
      <c r="C13" s="17">
        <f>C8-C9</f>
        <v/>
      </c>
      <c r="E13" s="14" t="n"/>
      <c r="F13" s="14" t="n"/>
      <c r="G13" s="15" t="n"/>
      <c r="H13" s="15" t="n"/>
    </row>
    <row r="14" ht="24" customHeight="1">
      <c r="A14" s="5" t="inlineStr"/>
      <c r="B14" s="16" t="inlineStr">
        <is>
          <t>Strategic Vector Magnitude (||V||)</t>
        </is>
      </c>
      <c r="C14" s="18">
        <f>SQRT(C12^2+C13^2)</f>
        <v/>
      </c>
      <c r="E14" s="14" t="n"/>
      <c r="F14" s="14" t="n"/>
      <c r="G14" s="15" t="n"/>
      <c r="H14" s="15" t="n"/>
    </row>
    <row r="16" ht="22" customHeight="1">
      <c r="A16" s="19" t="inlineStr">
        <is>
          <t>DOMINANT STRATEGIC POSTURE</t>
        </is>
      </c>
      <c r="E16" s="20">
        <f>"CURRENT VECTOR: Coordinates (" &amp; TEXT(C12,"+0.00;-0.00;0.00") &amp; " , " &amp; TEXT(C13,"+0.00;-0.00;0.00") &amp; ")  •  Momentum: " &amp; TEXT(C14,"0.00")</f>
        <v/>
      </c>
      <c r="F16" s="20" t="n"/>
      <c r="G16" s="20" t="n"/>
      <c r="H16" s="20" t="n"/>
    </row>
    <row r="17" ht="22" customHeight="1">
      <c r="A17" s="21">
        <f>IF(AND(C12&gt;=0, C13&gt;=0), "OFFENSIVE / EXPANSION (Maxi-Maxi)", IF(AND(C12&gt;=0, C13&lt;0), "DEFENSIVE / FORTRESS (Maxi-Mini)", IF(AND(C12&lt;0, C13&gt;=0), "REORIENTATION / TURNAROUND (Mini-Maxi)", "SURVIVAL / RESTRUCTURING (Mini-Mini)")))</f>
        <v/>
      </c>
      <c r="B17" s="21" t="n"/>
      <c r="C17" s="21" t="n"/>
      <c r="E17" s="20" t="n"/>
      <c r="F17" s="20" t="n"/>
      <c r="G17" s="20" t="n"/>
      <c r="H17" s="20" t="n"/>
    </row>
    <row r="19" ht="26" customHeight="1">
      <c r="A19" s="3" t="inlineStr">
        <is>
          <t>3. EXECUTIVE BOARD SYNTHESIS &amp; STRATEGIC RECOMMENDATION</t>
        </is>
      </c>
    </row>
    <row r="20" ht="36" customHeight="1">
      <c r="A20" s="22">
        <f>IF(AND(C12&gt;=0, C13&gt;=0), "Offensive Posture Validated: Internal strengths significantly outpace weaknesses within a receptive external environment. Direct maximum capital allocation to market share capture, aggressive R&amp;D, and global scaling.", IF(AND(C12&gt;=0, C13&lt;0), "Defensive Posture: Internal competencies remain strong, but macro headwinds and competitive threats are severe. Prioritize contractual moat building, margin defense, and supplier de-risking.", IF(AND(C12&lt;0, C13&gt;=0), "Reorientation Posture: High external market tailwinds exist, yet internal bottlenecks prevent full value capture. Expedite operational restructuring, talent realignment, and technical debt elimination.", "Survival Posture: Critical external threats compound severe internal vulnerabilities. Enforce strict OPEX containment, divest non-core assets, and restructure liabilities to preserve enterprise solvency.")))</f>
        <v/>
      </c>
      <c r="B20" s="22" t="n"/>
      <c r="C20" s="22" t="n"/>
      <c r="D20" s="22" t="n"/>
      <c r="E20" s="22" t="n"/>
      <c r="F20" s="22" t="n"/>
      <c r="G20" s="22" t="n"/>
      <c r="H20" s="22" t="n"/>
    </row>
    <row r="21" ht="36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532"/>
  <mergeCells count="15">
    <mergeCell ref="A3:H3"/>
    <mergeCell ref="A11:C11"/>
    <mergeCell ref="A5:C5"/>
    <mergeCell ref="E11:F14"/>
    <mergeCell ref="A2:H2"/>
    <mergeCell ref="A20:H21"/>
    <mergeCell ref="E6:F9"/>
    <mergeCell ref="G6:H9"/>
    <mergeCell ref="A17:C17"/>
    <mergeCell ref="A19:H19"/>
    <mergeCell ref="E16:H17"/>
    <mergeCell ref="G11:H14"/>
    <mergeCell ref="E10:H10"/>
    <mergeCell ref="E5:H5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46" customWidth="1" min="3" max="3"/>
    <col width="16" customWidth="1" min="4" max="4"/>
    <col width="14" customWidth="1" min="5" max="5"/>
    <col width="20" customWidth="1" min="6" max="6"/>
  </cols>
  <sheetData>
    <row r="2" ht="36" customHeight="1">
      <c r="A2" s="1" t="inlineStr">
        <is>
          <t>DATALARIA | QUANTITATIVE SWOT ASSESSMENT</t>
        </is>
      </c>
    </row>
    <row r="3" ht="24" customHeight="1">
      <c r="A3" s="2" t="inlineStr">
        <is>
          <t>Relative weight allocation (Σ = 100%) and impact rating (1 to 5). Weighted scores calculate dynamically. Blank rows safely ignored.</t>
        </is>
      </c>
    </row>
    <row r="5" ht="26" customHeight="1">
      <c r="A5" s="23" t="inlineStr">
        <is>
          <t>1. STRENGTHS (Core Internal Capabilities &amp; Strategic Assets)</t>
        </is>
      </c>
    </row>
    <row r="6" ht="24" customHeight="1">
      <c r="A6" s="24" t="inlineStr">
        <is>
          <t>Code</t>
        </is>
      </c>
      <c r="B6" s="25" t="inlineStr">
        <is>
          <t>Strategic Factor Evaluated (Editable)</t>
        </is>
      </c>
      <c r="C6" s="25" t="inlineStr">
        <is>
          <t>Baseline Metric / Quantitative Evidence</t>
        </is>
      </c>
      <c r="D6" s="24" t="inlineStr">
        <is>
          <t>Weight (wi)</t>
        </is>
      </c>
      <c r="E6" s="24" t="inlineStr">
        <is>
          <t>Impact (1-5)</t>
        </is>
      </c>
      <c r="F6" s="24" t="inlineStr">
        <is>
          <t>Weighted Score</t>
        </is>
      </c>
    </row>
    <row r="7" ht="32" customHeight="1">
      <c r="A7" s="26" t="inlineStr">
        <is>
          <t>S01</t>
        </is>
      </c>
      <c r="B7" s="27" t="inlineStr">
        <is>
          <t>Superior operating gross margin vs sector (+18.4%)</t>
        </is>
      </c>
      <c r="C7" s="27" t="inlineStr">
        <is>
          <t>2025 Financial Audit: EBITDA 24.2% vs 17.5% peer average</t>
        </is>
      </c>
      <c r="D7" s="28" t="n">
        <v>0.3</v>
      </c>
      <c r="E7" s="29" t="n">
        <v>5</v>
      </c>
      <c r="F7" s="30">
        <f>IF(OR(B7="", D7=""), 0, D7*E7)</f>
        <v/>
      </c>
    </row>
    <row r="8" ht="32" customHeight="1">
      <c r="A8" s="26" t="inlineStr">
        <is>
          <t>S02</t>
        </is>
      </c>
      <c r="B8" s="27" t="inlineStr">
        <is>
          <t>Proprietary IP and predictive software patents</t>
        </is>
      </c>
      <c r="C8" s="27" t="inlineStr">
        <is>
          <t>3 European and US patents granted through 2036</t>
        </is>
      </c>
      <c r="D8" s="28" t="n">
        <v>0.25</v>
      </c>
      <c r="E8" s="29" t="n">
        <v>4</v>
      </c>
      <c r="F8" s="30">
        <f>IF(OR(B8="", D8=""), 0, D8*E8)</f>
        <v/>
      </c>
    </row>
    <row r="9" ht="32" customHeight="1">
      <c r="A9" s="26" t="inlineStr">
        <is>
          <t>S03</t>
        </is>
      </c>
      <c r="B9" s="27" t="inlineStr">
        <is>
          <t>Enterprise Net Retention Rate (NRR) of 118%</t>
        </is>
      </c>
      <c r="C9" s="27" t="inlineStr">
        <is>
          <t>2023-2025 cohort: annual logo churn &lt; 2.1%</t>
        </is>
      </c>
      <c r="D9" s="28" t="n">
        <v>0.2</v>
      </c>
      <c r="E9" s="29" t="n">
        <v>5</v>
      </c>
      <c r="F9" s="30">
        <f>IF(OR(B9="", D9=""), 0, D9*E9)</f>
        <v/>
      </c>
    </row>
    <row r="10" ht="32" customHeight="1">
      <c r="A10" s="26" t="inlineStr">
        <is>
          <t>S04</t>
        </is>
      </c>
      <c r="B10" s="27" t="inlineStr">
        <is>
          <t>ISO 27001 and SOC 2 Type II certified cloud infrastructure</t>
        </is>
      </c>
      <c r="C10" s="27" t="inlineStr">
        <is>
          <t>Zero non-conformities in annual security audit</t>
        </is>
      </c>
      <c r="D10" s="28" t="n">
        <v>0.15</v>
      </c>
      <c r="E10" s="29" t="n">
        <v>4</v>
      </c>
      <c r="F10" s="30">
        <f>IF(OR(B10="", D10=""), 0, D10*E10)</f>
        <v/>
      </c>
    </row>
    <row r="11" ht="32" customHeight="1">
      <c r="A11" s="26" t="inlineStr">
        <is>
          <t>S05</t>
        </is>
      </c>
      <c r="B11" s="27" t="inlineStr">
        <is>
          <t>High-retention internal R&amp;D talent (turnover &lt; 4%)</t>
        </is>
      </c>
      <c r="C11" s="27" t="inlineStr">
        <is>
          <t>eNPS score of 74 points in bi-annual team survey</t>
        </is>
      </c>
      <c r="D11" s="28" t="n">
        <v>0.1</v>
      </c>
      <c r="E11" s="29" t="n">
        <v>4</v>
      </c>
      <c r="F11" s="30">
        <f>IF(OR(B11="", D11=""), 0, D11*E11)</f>
        <v/>
      </c>
    </row>
    <row r="12" ht="20" customHeight="1">
      <c r="A12" s="26" t="inlineStr">
        <is>
          <t>S06</t>
        </is>
      </c>
      <c r="B12" s="27" t="n"/>
      <c r="C12" s="27" t="n"/>
      <c r="D12" s="28" t="n"/>
      <c r="E12" s="29" t="n"/>
      <c r="F12" s="30">
        <f>IF(OR(B12="", D12=""), 0, D12*E12)</f>
        <v/>
      </c>
    </row>
    <row r="13" ht="20" customHeight="1">
      <c r="A13" s="26" t="inlineStr">
        <is>
          <t>S07</t>
        </is>
      </c>
      <c r="B13" s="27" t="n"/>
      <c r="C13" s="27" t="n"/>
      <c r="D13" s="28" t="n"/>
      <c r="E13" s="29" t="n"/>
      <c r="F13" s="30">
        <f>IF(OR(B13="", D13=""), 0, D13*E13)</f>
        <v/>
      </c>
    </row>
    <row r="14" ht="20" customHeight="1">
      <c r="A14" s="26" t="inlineStr">
        <is>
          <t>S08</t>
        </is>
      </c>
      <c r="B14" s="27" t="n"/>
      <c r="C14" s="27" t="n"/>
      <c r="D14" s="28" t="n"/>
      <c r="E14" s="29" t="n"/>
      <c r="F14" s="30">
        <f>IF(OR(B14="", D14=""), 0, D14*E14)</f>
        <v/>
      </c>
    </row>
    <row r="15" ht="20" customHeight="1">
      <c r="A15" s="26" t="inlineStr">
        <is>
          <t>S09</t>
        </is>
      </c>
      <c r="B15" s="27" t="n"/>
      <c r="C15" s="27" t="n"/>
      <c r="D15" s="28" t="n"/>
      <c r="E15" s="29" t="n"/>
      <c r="F15" s="30">
        <f>IF(OR(B15="", D15=""), 0, D15*E15)</f>
        <v/>
      </c>
    </row>
    <row r="16" ht="20" customHeight="1">
      <c r="A16" s="26" t="inlineStr">
        <is>
          <t>S10</t>
        </is>
      </c>
      <c r="B16" s="27" t="n"/>
      <c r="C16" s="27" t="n"/>
      <c r="D16" s="28" t="n"/>
      <c r="E16" s="29" t="n"/>
      <c r="F16" s="30">
        <f>IF(OR(B16="", D16=""), 0, D16*E16)</f>
        <v/>
      </c>
    </row>
    <row r="17" ht="26" customHeight="1">
      <c r="A17" s="31" t="inlineStr"/>
      <c r="B17" s="31" t="inlineStr"/>
      <c r="C17" s="32" t="inlineStr">
        <is>
          <t>TOTAL WEIGHTED SCORE</t>
        </is>
      </c>
      <c r="D17" s="33">
        <f>SUM(D7:D16)</f>
        <v/>
      </c>
      <c r="E17" s="34">
        <f>IF(COUNTBLANK(D7:D16)=10, "— No data —", IF(ROUND(SUM(D7:D16),2)=1, "✓ 100% Valid", "⚠ Sum: " &amp; TEXT(SUM(D7:D16),"0.0%") &amp; " (must equal 100%)"))</f>
        <v/>
      </c>
      <c r="F17" s="35">
        <f>SUM(F7:F16)</f>
        <v/>
      </c>
    </row>
    <row r="20" ht="26" customHeight="1">
      <c r="A20" s="36" t="inlineStr">
        <is>
          <t>2. WEAKNESSES (Internal Vulnerabilities &amp; Operational Bottlenecks)</t>
        </is>
      </c>
    </row>
    <row r="21" ht="24" customHeight="1">
      <c r="A21" s="24" t="inlineStr">
        <is>
          <t>Code</t>
        </is>
      </c>
      <c r="B21" s="25" t="inlineStr">
        <is>
          <t>Strategic Factor Evaluated (Editable)</t>
        </is>
      </c>
      <c r="C21" s="25" t="inlineStr">
        <is>
          <t>Baseline Metric / Quantitative Evidence</t>
        </is>
      </c>
      <c r="D21" s="24" t="inlineStr">
        <is>
          <t>Weight (wi)</t>
        </is>
      </c>
      <c r="E21" s="24" t="inlineStr">
        <is>
          <t>Impact (1-5)</t>
        </is>
      </c>
      <c r="F21" s="24" t="inlineStr">
        <is>
          <t>Weighted Score</t>
        </is>
      </c>
    </row>
    <row r="22" ht="32" customHeight="1">
      <c r="A22" s="26" t="inlineStr">
        <is>
          <t>W01</t>
        </is>
      </c>
      <c r="B22" s="27" t="inlineStr">
        <is>
          <t>Revenue concentration in 2 key enterprise clients (42% ARR)</t>
        </is>
      </c>
      <c r="C22" s="27" t="inlineStr">
        <is>
          <t>High single-client dependency identified in audit</t>
        </is>
      </c>
      <c r="D22" s="28" t="n">
        <v>0.3</v>
      </c>
      <c r="E22" s="29" t="n">
        <v>4</v>
      </c>
      <c r="F22" s="30">
        <f>IF(OR(B22="", D22=""), 0, D22*E22)</f>
        <v/>
      </c>
    </row>
    <row r="23" ht="32" customHeight="1">
      <c r="A23" s="26" t="inlineStr">
        <is>
          <t>W02</t>
        </is>
      </c>
      <c r="B23" s="27" t="inlineStr">
        <is>
          <t>Long enterprise sales cycle duration (8.5 months average)</t>
        </is>
      </c>
      <c r="C23" s="27" t="inlineStr">
        <is>
          <t>Salesforce CRM: qualified pipeline to deal close</t>
        </is>
      </c>
      <c r="D23" s="28" t="n">
        <v>0.25</v>
      </c>
      <c r="E23" s="29" t="n">
        <v>3</v>
      </c>
      <c r="F23" s="30">
        <f>IF(OR(B23="", D23=""), 0, D23*E23)</f>
        <v/>
      </c>
    </row>
    <row r="24" ht="32" customHeight="1">
      <c r="A24" s="26" t="inlineStr">
        <is>
          <t>W03</t>
        </is>
      </c>
      <c r="B24" s="27" t="inlineStr">
        <is>
          <t>Supply chain dependency on international IoT hardware vendors</t>
        </is>
      </c>
      <c r="C24" s="27" t="inlineStr">
        <is>
          <t>Sensor delivery lead times currently &gt; 14 weeks</t>
        </is>
      </c>
      <c r="D24" s="28" t="n">
        <v>0.2</v>
      </c>
      <c r="E24" s="29" t="n">
        <v>4</v>
      </c>
      <c r="F24" s="30">
        <f>IF(OR(B24="", D24=""), 0, D24*E24)</f>
        <v/>
      </c>
    </row>
    <row r="25" ht="32" customHeight="1">
      <c r="A25" s="26" t="inlineStr">
        <is>
          <t>W04</t>
        </is>
      </c>
      <c r="B25" s="27" t="inlineStr">
        <is>
          <t>Undersized direct commercial sales force in DACH markets</t>
        </is>
      </c>
      <c r="C25" s="27" t="inlineStr">
        <is>
          <t>Only 2 account executives covering Germany/Switzerland</t>
        </is>
      </c>
      <c r="D25" s="28" t="n">
        <v>0.15</v>
      </c>
      <c r="E25" s="29" t="n">
        <v>3</v>
      </c>
      <c r="F25" s="30">
        <f>IF(OR(B25="", D25=""), 0, D25*E25)</f>
        <v/>
      </c>
    </row>
    <row r="26" ht="32" customHeight="1">
      <c r="A26" s="26" t="inlineStr">
        <is>
          <t>W05</t>
        </is>
      </c>
      <c r="B26" s="27" t="inlineStr">
        <is>
          <t>Technical debt in legacy multi-currency billing engine</t>
        </is>
      </c>
      <c r="C26" s="27" t="inlineStr">
        <is>
          <t>Maintenance hours &gt; 18% of engineering sprint capacity</t>
        </is>
      </c>
      <c r="D26" s="28" t="n">
        <v>0.1</v>
      </c>
      <c r="E26" s="29" t="n">
        <v>3</v>
      </c>
      <c r="F26" s="30">
        <f>IF(OR(B26="", D26=""), 0, D26*E26)</f>
        <v/>
      </c>
    </row>
    <row r="27" ht="20" customHeight="1">
      <c r="A27" s="26" t="inlineStr">
        <is>
          <t>W06</t>
        </is>
      </c>
      <c r="B27" s="27" t="n"/>
      <c r="C27" s="27" t="n"/>
      <c r="D27" s="28" t="n"/>
      <c r="E27" s="29" t="n"/>
      <c r="F27" s="30">
        <f>IF(OR(B27="", D27=""), 0, D27*E27)</f>
        <v/>
      </c>
    </row>
    <row r="28" ht="20" customHeight="1">
      <c r="A28" s="26" t="inlineStr">
        <is>
          <t>W07</t>
        </is>
      </c>
      <c r="B28" s="27" t="n"/>
      <c r="C28" s="27" t="n"/>
      <c r="D28" s="28" t="n"/>
      <c r="E28" s="29" t="n"/>
      <c r="F28" s="30">
        <f>IF(OR(B28="", D28=""), 0, D28*E28)</f>
        <v/>
      </c>
    </row>
    <row r="29" ht="20" customHeight="1">
      <c r="A29" s="26" t="inlineStr">
        <is>
          <t>W08</t>
        </is>
      </c>
      <c r="B29" s="27" t="n"/>
      <c r="C29" s="27" t="n"/>
      <c r="D29" s="28" t="n"/>
      <c r="E29" s="29" t="n"/>
      <c r="F29" s="30">
        <f>IF(OR(B29="", D29=""), 0, D29*E29)</f>
        <v/>
      </c>
    </row>
    <row r="30" ht="20" customHeight="1">
      <c r="A30" s="26" t="inlineStr">
        <is>
          <t>W09</t>
        </is>
      </c>
      <c r="B30" s="27" t="n"/>
      <c r="C30" s="27" t="n"/>
      <c r="D30" s="28" t="n"/>
      <c r="E30" s="29" t="n"/>
      <c r="F30" s="30">
        <f>IF(OR(B30="", D30=""), 0, D30*E30)</f>
        <v/>
      </c>
    </row>
    <row r="31" ht="20" customHeight="1">
      <c r="A31" s="26" t="inlineStr">
        <is>
          <t>W10</t>
        </is>
      </c>
      <c r="B31" s="27" t="n"/>
      <c r="C31" s="27" t="n"/>
      <c r="D31" s="28" t="n"/>
      <c r="E31" s="29" t="n"/>
      <c r="F31" s="30">
        <f>IF(OR(B31="", D31=""), 0, D31*E31)</f>
        <v/>
      </c>
    </row>
    <row r="32" ht="26" customHeight="1">
      <c r="A32" s="31" t="inlineStr"/>
      <c r="B32" s="31" t="inlineStr"/>
      <c r="C32" s="32" t="inlineStr">
        <is>
          <t>TOTAL WEIGHTED SCORE</t>
        </is>
      </c>
      <c r="D32" s="37">
        <f>SUM(D22:D31)</f>
        <v/>
      </c>
      <c r="E32" s="34">
        <f>IF(COUNTBLANK(D22:D31)=10, "— No data —", IF(ROUND(SUM(D22:D31),2)=1, "✓ 100% Valid", "⚠ Sum: " &amp; TEXT(SUM(D22:D31),"0.0%") &amp; " (must equal 100%)"))</f>
        <v/>
      </c>
      <c r="F32" s="38">
        <f>SUM(F22:F31)</f>
        <v/>
      </c>
    </row>
    <row r="35" ht="26" customHeight="1">
      <c r="A35" s="39" t="inlineStr">
        <is>
          <t>3. OPPORTUNITIES (External Tailwinds &amp; Emerging Market Spaces)</t>
        </is>
      </c>
    </row>
    <row r="36" ht="24" customHeight="1">
      <c r="A36" s="24" t="inlineStr">
        <is>
          <t>Code</t>
        </is>
      </c>
      <c r="B36" s="25" t="inlineStr">
        <is>
          <t>Strategic Factor Evaluated (Editable)</t>
        </is>
      </c>
      <c r="C36" s="25" t="inlineStr">
        <is>
          <t>Baseline Metric / Quantitative Evidence</t>
        </is>
      </c>
      <c r="D36" s="24" t="inlineStr">
        <is>
          <t>Weight (wi)</t>
        </is>
      </c>
      <c r="E36" s="24" t="inlineStr">
        <is>
          <t>Impact (1-5)</t>
        </is>
      </c>
      <c r="F36" s="24" t="inlineStr">
        <is>
          <t>Weighted Score</t>
        </is>
      </c>
    </row>
    <row r="37" ht="32" customHeight="1">
      <c r="A37" s="26" t="inlineStr">
        <is>
          <t>O01</t>
        </is>
      </c>
      <c r="B37" s="27" t="inlineStr">
        <is>
          <t>Industrial digital transformation &amp; automation capital subsidies</t>
        </is>
      </c>
      <c r="C37" s="27" t="inlineStr">
        <is>
          <t>Non-repayable public capital programs for smart factories</t>
        </is>
      </c>
      <c r="D37" s="28" t="n">
        <v>0.3</v>
      </c>
      <c r="E37" s="29" t="n">
        <v>5</v>
      </c>
      <c r="F37" s="30">
        <f>IF(OR(B37="", D37=""), 0, D37*E37)</f>
        <v/>
      </c>
    </row>
    <row r="38" ht="32" customHeight="1">
      <c r="A38" s="26" t="inlineStr">
        <is>
          <t>O02</t>
        </is>
      </c>
      <c r="B38" s="27" t="inlineStr">
        <is>
          <t>Surging compliance demand for explainable AI &amp; observability</t>
        </is>
      </c>
      <c r="C38" s="27" t="inlineStr">
        <is>
          <t>EU AI Act and international governance frameworks</t>
        </is>
      </c>
      <c r="D38" s="28" t="n">
        <v>0.25</v>
      </c>
      <c r="E38" s="29" t="n">
        <v>5</v>
      </c>
      <c r="F38" s="30">
        <f>IF(OR(B38="", D38=""), 0, D38*E38)</f>
        <v/>
      </c>
    </row>
    <row r="39" ht="32" customHeight="1">
      <c r="A39" s="26" t="inlineStr">
        <is>
          <t>O03</t>
        </is>
      </c>
      <c r="B39" s="27" t="inlineStr">
        <is>
          <t>B2B distributor network consolidation in LatAm &amp; US Sunbelt</t>
        </is>
      </c>
      <c r="C39" s="27" t="inlineStr">
        <is>
          <t>Advanced negotiations for master distribution partnership</t>
        </is>
      </c>
      <c r="D39" s="28" t="n">
        <v>0.2</v>
      </c>
      <c r="E39" s="29" t="n">
        <v>4</v>
      </c>
      <c r="F39" s="30">
        <f>IF(OR(B39="", D39=""), 0, D39*E39)</f>
        <v/>
      </c>
    </row>
    <row r="40" ht="32" customHeight="1">
      <c r="A40" s="26" t="inlineStr">
        <is>
          <t>O04</t>
        </is>
      </c>
      <c r="B40" s="27" t="inlineStr">
        <is>
          <t>Obsolescence and vendor fatigue among Tier-2 legacy solutions</t>
        </is>
      </c>
      <c r="C40" s="27" t="inlineStr">
        <is>
          <t>Enterprise RFP wave seeking modern cloud alternatives</t>
        </is>
      </c>
      <c r="D40" s="28" t="n">
        <v>0.15</v>
      </c>
      <c r="E40" s="29" t="n">
        <v>4</v>
      </c>
      <c r="F40" s="30">
        <f>IF(OR(B40="", D40=""), 0, D40*E40)</f>
        <v/>
      </c>
    </row>
    <row r="41" ht="32" customHeight="1">
      <c r="A41" s="26" t="inlineStr">
        <is>
          <t>O05</t>
        </is>
      </c>
      <c r="B41" s="27" t="inlineStr">
        <is>
          <t>Co-sell partnerships with Tier-1 System Integrators</t>
        </is>
      </c>
      <c r="C41" s="27" t="inlineStr">
        <is>
          <t>Interest from leading consultancies to package our IP</t>
        </is>
      </c>
      <c r="D41" s="28" t="n">
        <v>0.1</v>
      </c>
      <c r="E41" s="29" t="n">
        <v>4</v>
      </c>
      <c r="F41" s="30">
        <f>IF(OR(B41="", D41=""), 0, D41*E41)</f>
        <v/>
      </c>
    </row>
    <row r="42" ht="20" customHeight="1">
      <c r="A42" s="26" t="inlineStr">
        <is>
          <t>O06</t>
        </is>
      </c>
      <c r="B42" s="27" t="n"/>
      <c r="C42" s="27" t="n"/>
      <c r="D42" s="28" t="n"/>
      <c r="E42" s="29" t="n"/>
      <c r="F42" s="30">
        <f>IF(OR(B42="", D42=""), 0, D42*E42)</f>
        <v/>
      </c>
    </row>
    <row r="43" ht="20" customHeight="1">
      <c r="A43" s="26" t="inlineStr">
        <is>
          <t>O07</t>
        </is>
      </c>
      <c r="B43" s="27" t="n"/>
      <c r="C43" s="27" t="n"/>
      <c r="D43" s="28" t="n"/>
      <c r="E43" s="29" t="n"/>
      <c r="F43" s="30">
        <f>IF(OR(B43="", D43=""), 0, D43*E43)</f>
        <v/>
      </c>
    </row>
    <row r="44" ht="20" customHeight="1">
      <c r="A44" s="26" t="inlineStr">
        <is>
          <t>O08</t>
        </is>
      </c>
      <c r="B44" s="27" t="n"/>
      <c r="C44" s="27" t="n"/>
      <c r="D44" s="28" t="n"/>
      <c r="E44" s="29" t="n"/>
      <c r="F44" s="30">
        <f>IF(OR(B44="", D44=""), 0, D44*E44)</f>
        <v/>
      </c>
    </row>
    <row r="45" ht="20" customHeight="1">
      <c r="A45" s="26" t="inlineStr">
        <is>
          <t>O09</t>
        </is>
      </c>
      <c r="B45" s="27" t="n"/>
      <c r="C45" s="27" t="n"/>
      <c r="D45" s="28" t="n"/>
      <c r="E45" s="29" t="n"/>
      <c r="F45" s="30">
        <f>IF(OR(B45="", D45=""), 0, D45*E45)</f>
        <v/>
      </c>
    </row>
    <row r="46" ht="20" customHeight="1">
      <c r="A46" s="26" t="inlineStr">
        <is>
          <t>O10</t>
        </is>
      </c>
      <c r="B46" s="27" t="n"/>
      <c r="C46" s="27" t="n"/>
      <c r="D46" s="28" t="n"/>
      <c r="E46" s="29" t="n"/>
      <c r="F46" s="30">
        <f>IF(OR(B46="", D46=""), 0, D46*E46)</f>
        <v/>
      </c>
    </row>
    <row r="47" ht="26" customHeight="1">
      <c r="A47" s="31" t="inlineStr"/>
      <c r="B47" s="31" t="inlineStr"/>
      <c r="C47" s="32" t="inlineStr">
        <is>
          <t>TOTAL WEIGHTED SCORE</t>
        </is>
      </c>
      <c r="D47" s="40">
        <f>SUM(D37:D46)</f>
        <v/>
      </c>
      <c r="E47" s="34">
        <f>IF(COUNTBLANK(D37:D46)=10, "— No data —", IF(ROUND(SUM(D37:D46),2)=1, "✓ 100% Valid", "⚠ Sum: " &amp; TEXT(SUM(D37:D46),"0.0%") &amp; " (must equal 100%)"))</f>
        <v/>
      </c>
      <c r="F47" s="41">
        <f>SUM(F37:F46)</f>
        <v/>
      </c>
    </row>
    <row r="50" ht="26" customHeight="1">
      <c r="A50" s="42" t="inlineStr">
        <is>
          <t>4. THREATS (Market Risks &amp; External Headwinds)</t>
        </is>
      </c>
    </row>
    <row r="51" ht="24" customHeight="1">
      <c r="A51" s="24" t="inlineStr">
        <is>
          <t>Code</t>
        </is>
      </c>
      <c r="B51" s="25" t="inlineStr">
        <is>
          <t>Strategic Factor Evaluated (Editable)</t>
        </is>
      </c>
      <c r="C51" s="25" t="inlineStr">
        <is>
          <t>Baseline Metric / Quantitative Evidence</t>
        </is>
      </c>
      <c r="D51" s="24" t="inlineStr">
        <is>
          <t>Weight (wi)</t>
        </is>
      </c>
      <c r="E51" s="24" t="inlineStr">
        <is>
          <t>Impact (1-5)</t>
        </is>
      </c>
      <c r="F51" s="24" t="inlineStr">
        <is>
          <t>Weighted Score</t>
        </is>
      </c>
    </row>
    <row r="52" ht="32" customHeight="1">
      <c r="A52" s="26" t="inlineStr">
        <is>
          <t>T01</t>
        </is>
      </c>
      <c r="B52" s="27" t="inlineStr">
        <is>
          <t>Aggressive price erosion from low-cost Asian competitors</t>
        </is>
      </c>
      <c r="C52" s="27" t="inlineStr">
        <is>
          <t>Public tenders experiencing 35-40% price discounting</t>
        </is>
      </c>
      <c r="D52" s="28" t="n">
        <v>0.3</v>
      </c>
      <c r="E52" s="29" t="n">
        <v>4</v>
      </c>
      <c r="F52" s="30">
        <f>IF(OR(B52="", D52=""), 0, D52*E52)</f>
        <v/>
      </c>
    </row>
    <row r="53" ht="32" customHeight="1">
      <c r="A53" s="26" t="inlineStr">
        <is>
          <t>T02</t>
        </is>
      </c>
      <c r="B53" s="27" t="inlineStr">
        <is>
          <t>Acute talent shortage &amp; wage inflation for senior AI engineers</t>
        </is>
      </c>
      <c r="C53" s="27" t="inlineStr">
        <is>
          <t>Average recruiting salary costs up 22% year-on-year</t>
        </is>
      </c>
      <c r="D53" s="28" t="n">
        <v>0.25</v>
      </c>
      <c r="E53" s="29" t="n">
        <v>3</v>
      </c>
      <c r="F53" s="30">
        <f>IF(OR(B53="", D53=""), 0, D53*E53)</f>
        <v/>
      </c>
    </row>
    <row r="54" ht="32" customHeight="1">
      <c r="A54" s="26" t="inlineStr">
        <is>
          <t>T03</t>
        </is>
      </c>
      <c r="B54" s="27" t="inlineStr">
        <is>
          <t>Tariff volatility &amp; international cross-border friction</t>
        </is>
      </c>
      <c r="C54" s="27" t="inlineStr">
        <is>
          <t>Potential duties on microelectronics &amp; specialized compute</t>
        </is>
      </c>
      <c r="D54" s="28" t="n">
        <v>0.2</v>
      </c>
      <c r="E54" s="29" t="n">
        <v>3</v>
      </c>
      <c r="F54" s="30">
        <f>IF(OR(B54="", D54=""), 0, D54*E54)</f>
        <v/>
      </c>
    </row>
    <row r="55" ht="32" customHeight="1">
      <c r="A55" s="26" t="inlineStr">
        <is>
          <t>T04</t>
        </is>
      </c>
      <c r="B55" s="27" t="inlineStr">
        <is>
          <t>M&amp;A roll-up of direct niche competitors backed by PE funds</t>
        </is>
      </c>
      <c r="C55" s="27" t="inlineStr">
        <is>
          <t>Nearest competitor recently acquired two vertical startups</t>
        </is>
      </c>
      <c r="D55" s="28" t="n">
        <v>0.15</v>
      </c>
      <c r="E55" s="29" t="n">
        <v>4</v>
      </c>
      <c r="F55" s="30">
        <f>IF(OR(B55="", D55=""), 0, D55*E55)</f>
        <v/>
      </c>
    </row>
    <row r="56" ht="32" customHeight="1">
      <c r="A56" s="26" t="inlineStr">
        <is>
          <t>T05</t>
        </is>
      </c>
      <c r="B56" s="27" t="inlineStr">
        <is>
          <t>Stringent supply chain cybersecurity directives (NIS2/DORA)</t>
        </is>
      </c>
      <c r="C56" s="27" t="inlineStr">
        <is>
          <t>Stricter third-party compliance requirements</t>
        </is>
      </c>
      <c r="D56" s="28" t="n">
        <v>0.1</v>
      </c>
      <c r="E56" s="29" t="n">
        <v>3</v>
      </c>
      <c r="F56" s="30">
        <f>IF(OR(B56="", D56=""), 0, D56*E56)</f>
        <v/>
      </c>
    </row>
    <row r="57" ht="20" customHeight="1">
      <c r="A57" s="26" t="inlineStr">
        <is>
          <t>T06</t>
        </is>
      </c>
      <c r="B57" s="27" t="n"/>
      <c r="C57" s="27" t="n"/>
      <c r="D57" s="28" t="n"/>
      <c r="E57" s="29" t="n"/>
      <c r="F57" s="30">
        <f>IF(OR(B57="", D57=""), 0, D57*E57)</f>
        <v/>
      </c>
    </row>
    <row r="58" ht="20" customHeight="1">
      <c r="A58" s="26" t="inlineStr">
        <is>
          <t>T07</t>
        </is>
      </c>
      <c r="B58" s="27" t="n"/>
      <c r="C58" s="27" t="n"/>
      <c r="D58" s="28" t="n"/>
      <c r="E58" s="29" t="n"/>
      <c r="F58" s="30">
        <f>IF(OR(B58="", D58=""), 0, D58*E58)</f>
        <v/>
      </c>
    </row>
    <row r="59" ht="20" customHeight="1">
      <c r="A59" s="26" t="inlineStr">
        <is>
          <t>T08</t>
        </is>
      </c>
      <c r="B59" s="27" t="n"/>
      <c r="C59" s="27" t="n"/>
      <c r="D59" s="28" t="n"/>
      <c r="E59" s="29" t="n"/>
      <c r="F59" s="30">
        <f>IF(OR(B59="", D59=""), 0, D59*E59)</f>
        <v/>
      </c>
    </row>
    <row r="60" ht="20" customHeight="1">
      <c r="A60" s="26" t="inlineStr">
        <is>
          <t>T09</t>
        </is>
      </c>
      <c r="B60" s="27" t="n"/>
      <c r="C60" s="27" t="n"/>
      <c r="D60" s="28" t="n"/>
      <c r="E60" s="29" t="n"/>
      <c r="F60" s="30">
        <f>IF(OR(B60="", D60=""), 0, D60*E60)</f>
        <v/>
      </c>
    </row>
    <row r="61" ht="20" customHeight="1">
      <c r="A61" s="26" t="inlineStr">
        <is>
          <t>T10</t>
        </is>
      </c>
      <c r="B61" s="27" t="n"/>
      <c r="C61" s="27" t="n"/>
      <c r="D61" s="28" t="n"/>
      <c r="E61" s="29" t="n"/>
      <c r="F61" s="30">
        <f>IF(OR(B61="", D61=""), 0, D61*E61)</f>
        <v/>
      </c>
    </row>
    <row r="62" ht="26" customHeight="1">
      <c r="A62" s="31" t="inlineStr"/>
      <c r="B62" s="31" t="inlineStr"/>
      <c r="C62" s="32" t="inlineStr">
        <is>
          <t>TOTAL WEIGHTED SCORE</t>
        </is>
      </c>
      <c r="D62" s="43">
        <f>SUM(D52:D61)</f>
        <v/>
      </c>
      <c r="E62" s="34">
        <f>IF(COUNTBLANK(D52:D61)=10, "— No data —", IF(ROUND(SUM(D52:D61),2)=1, "✓ 100% Valid", "⚠ Sum: " &amp; TEXT(SUM(D52:D61),"0.0%") &amp; " (must equal 100%)"))</f>
        <v/>
      </c>
      <c r="F62" s="44">
        <f>SUM(F52:F61)</f>
        <v/>
      </c>
    </row>
  </sheetData>
  <sheetProtection selectLockedCells="0" selectUnlockedCells="0" sheet="1" objects="1" insertRows="0" insertHyperlinks="1" autoFilter="0" scenarios="1" formatColumns="0" deleteColumns="1" insertColumns="1" pivotTables="1" deleteRows="0" formatCells="0" formatRows="0" sort="0" password="E532"/>
  <mergeCells count="6">
    <mergeCell ref="A2:F2"/>
    <mergeCell ref="A5:F5"/>
    <mergeCell ref="A35:F35"/>
    <mergeCell ref="A50:F50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4" customWidth="1" min="23" max="23"/>
  </cols>
  <sheetData>
    <row r="2" ht="36" customHeight="1">
      <c r="A2" s="1" t="inlineStr">
        <is>
          <t>DATALARIA | TOWS QUANTITATIVE CROSS-IMPACT MATRIX</t>
        </is>
      </c>
    </row>
    <row r="3" ht="24" customHeight="1">
      <c r="A3" s="2" t="inlineStr">
        <is>
          <t>Cross-impact scale (0 = None, 1 = Low, 2 = Moderate, 3 = Critical / Synergistic). Identifies primary catalysts and acute operational vulnerabilities.</t>
        </is>
      </c>
    </row>
    <row r="5">
      <c r="C5" s="45" t="inlineStr">
        <is>
          <t>OPPORTUNITIES (O01 - O10)</t>
        </is>
      </c>
      <c r="M5" s="46" t="inlineStr">
        <is>
          <t>THREATS (T01 - T10)</t>
        </is>
      </c>
    </row>
    <row r="6" ht="26" customHeight="1">
      <c r="A6" s="47" t="inlineStr">
        <is>
          <t>ID</t>
        </is>
      </c>
      <c r="B6" s="48" t="inlineStr">
        <is>
          <t>INTERNAL FACTORS (ROWS)</t>
        </is>
      </c>
      <c r="C6" s="49" t="inlineStr">
        <is>
          <t>O01</t>
        </is>
      </c>
      <c r="D6" s="49" t="inlineStr">
        <is>
          <t>O02</t>
        </is>
      </c>
      <c r="E6" s="49" t="inlineStr">
        <is>
          <t>O03</t>
        </is>
      </c>
      <c r="F6" s="49" t="inlineStr">
        <is>
          <t>O04</t>
        </is>
      </c>
      <c r="G6" s="49" t="inlineStr">
        <is>
          <t>O05</t>
        </is>
      </c>
      <c r="H6" s="49" t="inlineStr">
        <is>
          <t>O06</t>
        </is>
      </c>
      <c r="I6" s="49" t="inlineStr">
        <is>
          <t>O07</t>
        </is>
      </c>
      <c r="J6" s="49" t="inlineStr">
        <is>
          <t>O08</t>
        </is>
      </c>
      <c r="K6" s="49" t="inlineStr">
        <is>
          <t>O09</t>
        </is>
      </c>
      <c r="L6" s="49" t="inlineStr">
        <is>
          <t>O10</t>
        </is>
      </c>
      <c r="M6" s="50" t="inlineStr">
        <is>
          <t>T01</t>
        </is>
      </c>
      <c r="N6" s="50" t="inlineStr">
        <is>
          <t>T02</t>
        </is>
      </c>
      <c r="O6" s="50" t="inlineStr">
        <is>
          <t>T03</t>
        </is>
      </c>
      <c r="P6" s="50" t="inlineStr">
        <is>
          <t>T04</t>
        </is>
      </c>
      <c r="Q6" s="50" t="inlineStr">
        <is>
          <t>T05</t>
        </is>
      </c>
      <c r="R6" s="50" t="inlineStr">
        <is>
          <t>T06</t>
        </is>
      </c>
      <c r="S6" s="50" t="inlineStr">
        <is>
          <t>T07</t>
        </is>
      </c>
      <c r="T6" s="50" t="inlineStr">
        <is>
          <t>T08</t>
        </is>
      </c>
      <c r="U6" s="50" t="inlineStr">
        <is>
          <t>T09</t>
        </is>
      </c>
      <c r="V6" s="50" t="inlineStr">
        <is>
          <t>T10</t>
        </is>
      </c>
      <c r="W6" s="19" t="inlineStr">
        <is>
          <t>Row Total</t>
        </is>
      </c>
    </row>
    <row r="7" ht="24" customHeight="1">
      <c r="A7" s="51" t="inlineStr">
        <is>
          <t>STRENGTHS (S01 - S10)</t>
        </is>
      </c>
    </row>
    <row r="8" ht="26" customHeight="1">
      <c r="A8" s="52" t="inlineStr">
        <is>
          <t>S01</t>
        </is>
      </c>
      <c r="B8" s="6">
        <f>IF('SWOT Weighted Assessment'!B7&lt;&gt;"", 'SWOT Weighted Assessment'!B7, "S01 [Disponible]")</f>
        <v/>
      </c>
      <c r="C8" s="53" t="n">
        <v>3</v>
      </c>
      <c r="D8" s="53" t="n">
        <v>3</v>
      </c>
      <c r="E8" s="53" t="n">
        <v>2</v>
      </c>
      <c r="F8" s="53" t="n">
        <v>3</v>
      </c>
      <c r="G8" s="53" t="n">
        <v>2</v>
      </c>
      <c r="H8" s="53" t="n">
        <v>0</v>
      </c>
      <c r="I8" s="53" t="n">
        <v>0</v>
      </c>
      <c r="J8" s="53" t="n">
        <v>0</v>
      </c>
      <c r="K8" s="53" t="n">
        <v>0</v>
      </c>
      <c r="L8" s="53" t="n">
        <v>0</v>
      </c>
      <c r="M8" s="53" t="n">
        <v>2</v>
      </c>
      <c r="N8" s="53" t="n">
        <v>1</v>
      </c>
      <c r="O8" s="53" t="n">
        <v>1</v>
      </c>
      <c r="P8" s="53" t="n">
        <v>3</v>
      </c>
      <c r="Q8" s="53" t="n">
        <v>2</v>
      </c>
      <c r="R8" s="53" t="n">
        <v>0</v>
      </c>
      <c r="S8" s="53" t="n">
        <v>0</v>
      </c>
      <c r="T8" s="53" t="n">
        <v>0</v>
      </c>
      <c r="U8" s="53" t="n">
        <v>0</v>
      </c>
      <c r="V8" s="53" t="n">
        <v>0</v>
      </c>
      <c r="W8" s="54">
        <f>SUM(C8:V8)</f>
        <v/>
      </c>
    </row>
    <row r="9" ht="26" customHeight="1">
      <c r="A9" s="52" t="inlineStr">
        <is>
          <t>S02</t>
        </is>
      </c>
      <c r="B9" s="6">
        <f>IF('SWOT Weighted Assessment'!B8&lt;&gt;"", 'SWOT Weighted Assessment'!B8, "S02 [Disponible]")</f>
        <v/>
      </c>
      <c r="C9" s="53" t="n">
        <v>3</v>
      </c>
      <c r="D9" s="53" t="n">
        <v>3</v>
      </c>
      <c r="E9" s="53" t="n">
        <v>1</v>
      </c>
      <c r="F9" s="53" t="n">
        <v>2</v>
      </c>
      <c r="G9" s="53" t="n">
        <v>3</v>
      </c>
      <c r="H9" s="53" t="n">
        <v>0</v>
      </c>
      <c r="I9" s="53" t="n">
        <v>0</v>
      </c>
      <c r="J9" s="53" t="n">
        <v>0</v>
      </c>
      <c r="K9" s="53" t="n">
        <v>0</v>
      </c>
      <c r="L9" s="53" t="n">
        <v>0</v>
      </c>
      <c r="M9" s="53" t="n">
        <v>1</v>
      </c>
      <c r="N9" s="53" t="n">
        <v>2</v>
      </c>
      <c r="O9" s="53" t="n">
        <v>1</v>
      </c>
      <c r="P9" s="53" t="n">
        <v>2</v>
      </c>
      <c r="Q9" s="53" t="n">
        <v>3</v>
      </c>
      <c r="R9" s="53" t="n">
        <v>0</v>
      </c>
      <c r="S9" s="53" t="n">
        <v>0</v>
      </c>
      <c r="T9" s="53" t="n">
        <v>0</v>
      </c>
      <c r="U9" s="53" t="n">
        <v>0</v>
      </c>
      <c r="V9" s="53" t="n">
        <v>0</v>
      </c>
      <c r="W9" s="54">
        <f>SUM(C9:V9)</f>
        <v/>
      </c>
    </row>
    <row r="10" ht="26" customHeight="1">
      <c r="A10" s="52" t="inlineStr">
        <is>
          <t>S03</t>
        </is>
      </c>
      <c r="B10" s="6">
        <f>IF('SWOT Weighted Assessment'!B9&lt;&gt;"", 'SWOT Weighted Assessment'!B9, "S03 [Disponible]")</f>
        <v/>
      </c>
      <c r="C10" s="53" t="n">
        <v>2</v>
      </c>
      <c r="D10" s="53" t="n">
        <v>3</v>
      </c>
      <c r="E10" s="53" t="n">
        <v>3</v>
      </c>
      <c r="F10" s="53" t="n">
        <v>2</v>
      </c>
      <c r="G10" s="53" t="n">
        <v>2</v>
      </c>
      <c r="H10" s="53" t="n">
        <v>0</v>
      </c>
      <c r="I10" s="53" t="n">
        <v>0</v>
      </c>
      <c r="J10" s="53" t="n">
        <v>0</v>
      </c>
      <c r="K10" s="53" t="n">
        <v>0</v>
      </c>
      <c r="L10" s="53" t="n">
        <v>0</v>
      </c>
      <c r="M10" s="53" t="n">
        <v>2</v>
      </c>
      <c r="N10" s="53" t="n">
        <v>1</v>
      </c>
      <c r="O10" s="53" t="n">
        <v>2</v>
      </c>
      <c r="P10" s="53" t="n">
        <v>2</v>
      </c>
      <c r="Q10" s="53" t="n">
        <v>2</v>
      </c>
      <c r="R10" s="53" t="n">
        <v>0</v>
      </c>
      <c r="S10" s="53" t="n">
        <v>0</v>
      </c>
      <c r="T10" s="53" t="n">
        <v>0</v>
      </c>
      <c r="U10" s="53" t="n">
        <v>0</v>
      </c>
      <c r="V10" s="53" t="n">
        <v>0</v>
      </c>
      <c r="W10" s="54">
        <f>SUM(C10:V10)</f>
        <v/>
      </c>
    </row>
    <row r="11" ht="26" customHeight="1">
      <c r="A11" s="52" t="inlineStr">
        <is>
          <t>S04</t>
        </is>
      </c>
      <c r="B11" s="6">
        <f>IF('SWOT Weighted Assessment'!B10&lt;&gt;"", 'SWOT Weighted Assessment'!B10, "S04 [Disponible]")</f>
        <v/>
      </c>
      <c r="C11" s="53" t="n">
        <v>2</v>
      </c>
      <c r="D11" s="53" t="n">
        <v>3</v>
      </c>
      <c r="E11" s="53" t="n">
        <v>2</v>
      </c>
      <c r="F11" s="53" t="n">
        <v>3</v>
      </c>
      <c r="G11" s="53" t="n">
        <v>3</v>
      </c>
      <c r="H11" s="53" t="n">
        <v>0</v>
      </c>
      <c r="I11" s="53" t="n">
        <v>0</v>
      </c>
      <c r="J11" s="53" t="n">
        <v>0</v>
      </c>
      <c r="K11" s="53" t="n">
        <v>0</v>
      </c>
      <c r="L11" s="53" t="n">
        <v>0</v>
      </c>
      <c r="M11" s="53" t="n">
        <v>2</v>
      </c>
      <c r="N11" s="53" t="n">
        <v>1</v>
      </c>
      <c r="O11" s="53" t="n">
        <v>1</v>
      </c>
      <c r="P11" s="53" t="n">
        <v>1</v>
      </c>
      <c r="Q11" s="53" t="n">
        <v>3</v>
      </c>
      <c r="R11" s="53" t="n">
        <v>0</v>
      </c>
      <c r="S11" s="53" t="n">
        <v>0</v>
      </c>
      <c r="T11" s="53" t="n">
        <v>0</v>
      </c>
      <c r="U11" s="53" t="n">
        <v>0</v>
      </c>
      <c r="V11" s="53" t="n">
        <v>0</v>
      </c>
      <c r="W11" s="54">
        <f>SUM(C11:V11)</f>
        <v/>
      </c>
    </row>
    <row r="12" ht="26" customHeight="1">
      <c r="A12" s="52" t="inlineStr">
        <is>
          <t>S05</t>
        </is>
      </c>
      <c r="B12" s="6">
        <f>IF('SWOT Weighted Assessment'!B11&lt;&gt;"", 'SWOT Weighted Assessment'!B11, "S05 [Disponible]")</f>
        <v/>
      </c>
      <c r="C12" s="53" t="n">
        <v>2</v>
      </c>
      <c r="D12" s="53" t="n">
        <v>2</v>
      </c>
      <c r="E12" s="53" t="n">
        <v>1</v>
      </c>
      <c r="F12" s="53" t="n">
        <v>1</v>
      </c>
      <c r="G12" s="53" t="n">
        <v>2</v>
      </c>
      <c r="H12" s="53" t="n">
        <v>0</v>
      </c>
      <c r="I12" s="53" t="n">
        <v>0</v>
      </c>
      <c r="J12" s="53" t="n">
        <v>0</v>
      </c>
      <c r="K12" s="53" t="n">
        <v>0</v>
      </c>
      <c r="L12" s="53" t="n">
        <v>0</v>
      </c>
      <c r="M12" s="53" t="n">
        <v>1</v>
      </c>
      <c r="N12" s="53" t="n">
        <v>3</v>
      </c>
      <c r="O12" s="53" t="n">
        <v>1</v>
      </c>
      <c r="P12" s="53" t="n">
        <v>2</v>
      </c>
      <c r="Q12" s="53" t="n">
        <v>1</v>
      </c>
      <c r="R12" s="53" t="n">
        <v>0</v>
      </c>
      <c r="S12" s="53" t="n">
        <v>0</v>
      </c>
      <c r="T12" s="53" t="n">
        <v>0</v>
      </c>
      <c r="U12" s="53" t="n">
        <v>0</v>
      </c>
      <c r="V12" s="53" t="n">
        <v>0</v>
      </c>
      <c r="W12" s="54">
        <f>SUM(C12:V12)</f>
        <v/>
      </c>
    </row>
    <row r="13" ht="26" customHeight="1">
      <c r="A13" s="52" t="inlineStr">
        <is>
          <t>S06</t>
        </is>
      </c>
      <c r="B13" s="6">
        <f>IF('SWOT Weighted Assessment'!B12&lt;&gt;"", 'SWOT Weighted Assessment'!B12, "S06 [Disponible]")</f>
        <v/>
      </c>
      <c r="C13" s="53" t="n">
        <v>0</v>
      </c>
      <c r="D13" s="53" t="n">
        <v>0</v>
      </c>
      <c r="E13" s="53" t="n">
        <v>0</v>
      </c>
      <c r="F13" s="53" t="n">
        <v>0</v>
      </c>
      <c r="G13" s="53" t="n">
        <v>0</v>
      </c>
      <c r="H13" s="53" t="n">
        <v>0</v>
      </c>
      <c r="I13" s="53" t="n">
        <v>0</v>
      </c>
      <c r="J13" s="53" t="n">
        <v>0</v>
      </c>
      <c r="K13" s="53" t="n">
        <v>0</v>
      </c>
      <c r="L13" s="53" t="n">
        <v>0</v>
      </c>
      <c r="M13" s="53" t="n">
        <v>0</v>
      </c>
      <c r="N13" s="53" t="n">
        <v>0</v>
      </c>
      <c r="O13" s="53" t="n">
        <v>0</v>
      </c>
      <c r="P13" s="53" t="n">
        <v>0</v>
      </c>
      <c r="Q13" s="53" t="n">
        <v>0</v>
      </c>
      <c r="R13" s="53" t="n">
        <v>0</v>
      </c>
      <c r="S13" s="53" t="n">
        <v>0</v>
      </c>
      <c r="T13" s="53" t="n">
        <v>0</v>
      </c>
      <c r="U13" s="53" t="n">
        <v>0</v>
      </c>
      <c r="V13" s="53" t="n">
        <v>0</v>
      </c>
      <c r="W13" s="54">
        <f>SUM(C13:V13)</f>
        <v/>
      </c>
    </row>
    <row r="14" ht="26" customHeight="1">
      <c r="A14" s="52" t="inlineStr">
        <is>
          <t>S07</t>
        </is>
      </c>
      <c r="B14" s="6">
        <f>IF('SWOT Weighted Assessment'!B13&lt;&gt;"", 'SWOT Weighted Assessment'!B13, "S07 [Disponible]")</f>
        <v/>
      </c>
      <c r="C14" s="53" t="n">
        <v>0</v>
      </c>
      <c r="D14" s="53" t="n">
        <v>0</v>
      </c>
      <c r="E14" s="53" t="n">
        <v>0</v>
      </c>
      <c r="F14" s="53" t="n">
        <v>0</v>
      </c>
      <c r="G14" s="53" t="n">
        <v>0</v>
      </c>
      <c r="H14" s="53" t="n">
        <v>0</v>
      </c>
      <c r="I14" s="53" t="n">
        <v>0</v>
      </c>
      <c r="J14" s="53" t="n">
        <v>0</v>
      </c>
      <c r="K14" s="53" t="n">
        <v>0</v>
      </c>
      <c r="L14" s="53" t="n">
        <v>0</v>
      </c>
      <c r="M14" s="53" t="n">
        <v>0</v>
      </c>
      <c r="N14" s="53" t="n">
        <v>0</v>
      </c>
      <c r="O14" s="53" t="n">
        <v>0</v>
      </c>
      <c r="P14" s="53" t="n">
        <v>0</v>
      </c>
      <c r="Q14" s="53" t="n">
        <v>0</v>
      </c>
      <c r="R14" s="53" t="n">
        <v>0</v>
      </c>
      <c r="S14" s="53" t="n">
        <v>0</v>
      </c>
      <c r="T14" s="53" t="n">
        <v>0</v>
      </c>
      <c r="U14" s="53" t="n">
        <v>0</v>
      </c>
      <c r="V14" s="53" t="n">
        <v>0</v>
      </c>
      <c r="W14" s="54">
        <f>SUM(C14:V14)</f>
        <v/>
      </c>
    </row>
    <row r="15" ht="26" customHeight="1">
      <c r="A15" s="52" t="inlineStr">
        <is>
          <t>S08</t>
        </is>
      </c>
      <c r="B15" s="6">
        <f>IF('SWOT Weighted Assessment'!B14&lt;&gt;"", 'SWOT Weighted Assessment'!B14, "S08 [Disponible]")</f>
        <v/>
      </c>
      <c r="C15" s="53" t="n">
        <v>0</v>
      </c>
      <c r="D15" s="53" t="n">
        <v>0</v>
      </c>
      <c r="E15" s="53" t="n">
        <v>0</v>
      </c>
      <c r="F15" s="53" t="n">
        <v>0</v>
      </c>
      <c r="G15" s="53" t="n">
        <v>0</v>
      </c>
      <c r="H15" s="53" t="n">
        <v>0</v>
      </c>
      <c r="I15" s="53" t="n">
        <v>0</v>
      </c>
      <c r="J15" s="53" t="n">
        <v>0</v>
      </c>
      <c r="K15" s="53" t="n">
        <v>0</v>
      </c>
      <c r="L15" s="53" t="n">
        <v>0</v>
      </c>
      <c r="M15" s="53" t="n">
        <v>0</v>
      </c>
      <c r="N15" s="53" t="n">
        <v>0</v>
      </c>
      <c r="O15" s="53" t="n">
        <v>0</v>
      </c>
      <c r="P15" s="53" t="n">
        <v>0</v>
      </c>
      <c r="Q15" s="53" t="n">
        <v>0</v>
      </c>
      <c r="R15" s="53" t="n">
        <v>0</v>
      </c>
      <c r="S15" s="53" t="n">
        <v>0</v>
      </c>
      <c r="T15" s="53" t="n">
        <v>0</v>
      </c>
      <c r="U15" s="53" t="n">
        <v>0</v>
      </c>
      <c r="V15" s="53" t="n">
        <v>0</v>
      </c>
      <c r="W15" s="54">
        <f>SUM(C15:V15)</f>
        <v/>
      </c>
    </row>
    <row r="16" ht="26" customHeight="1">
      <c r="A16" s="52" t="inlineStr">
        <is>
          <t>S09</t>
        </is>
      </c>
      <c r="B16" s="6">
        <f>IF('SWOT Weighted Assessment'!B15&lt;&gt;"", 'SWOT Weighted Assessment'!B15, "S09 [Disponible]")</f>
        <v/>
      </c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3" t="n">
        <v>0</v>
      </c>
      <c r="P16" s="53" t="n">
        <v>0</v>
      </c>
      <c r="Q16" s="53" t="n">
        <v>0</v>
      </c>
      <c r="R16" s="53" t="n">
        <v>0</v>
      </c>
      <c r="S16" s="53" t="n">
        <v>0</v>
      </c>
      <c r="T16" s="53" t="n">
        <v>0</v>
      </c>
      <c r="U16" s="53" t="n">
        <v>0</v>
      </c>
      <c r="V16" s="53" t="n">
        <v>0</v>
      </c>
      <c r="W16" s="54">
        <f>SUM(C16:V16)</f>
        <v/>
      </c>
    </row>
    <row r="17" ht="26" customHeight="1">
      <c r="A17" s="52" t="inlineStr">
        <is>
          <t>S10</t>
        </is>
      </c>
      <c r="B17" s="6">
        <f>IF('SWOT Weighted Assessment'!B16&lt;&gt;"", 'SWOT Weighted Assessment'!B16, "S10 [Disponible]")</f>
        <v/>
      </c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3" t="n">
        <v>0</v>
      </c>
      <c r="P17" s="53" t="n">
        <v>0</v>
      </c>
      <c r="Q17" s="53" t="n">
        <v>0</v>
      </c>
      <c r="R17" s="53" t="n">
        <v>0</v>
      </c>
      <c r="S17" s="53" t="n">
        <v>0</v>
      </c>
      <c r="T17" s="53" t="n">
        <v>0</v>
      </c>
      <c r="U17" s="53" t="n">
        <v>0</v>
      </c>
      <c r="V17" s="53" t="n">
        <v>0</v>
      </c>
      <c r="W17" s="54">
        <f>SUM(C17:V17)</f>
        <v/>
      </c>
    </row>
    <row r="18" ht="24" customHeight="1">
      <c r="A18" s="55" t="inlineStr">
        <is>
          <t>WEAKNESSES (W01 - W10)</t>
        </is>
      </c>
    </row>
    <row r="19" ht="26" customHeight="1">
      <c r="A19" s="52" t="inlineStr">
        <is>
          <t>W01</t>
        </is>
      </c>
      <c r="B19" s="6">
        <f>IF('SWOT Weighted Assessment'!B21&lt;&gt;"", 'SWOT Weighted Assessment'!B21, "W01 [Disponible]")</f>
        <v/>
      </c>
      <c r="C19" s="53" t="n">
        <v>1</v>
      </c>
      <c r="D19" s="53" t="n">
        <v>1</v>
      </c>
      <c r="E19" s="53" t="n">
        <v>3</v>
      </c>
      <c r="F19" s="53" t="n">
        <v>2</v>
      </c>
      <c r="G19" s="53" t="n">
        <v>1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3</v>
      </c>
      <c r="N19" s="53" t="n">
        <v>1</v>
      </c>
      <c r="O19" s="53" t="n">
        <v>3</v>
      </c>
      <c r="P19" s="53" t="n">
        <v>3</v>
      </c>
      <c r="Q19" s="53" t="n">
        <v>2</v>
      </c>
      <c r="R19" s="53" t="n">
        <v>0</v>
      </c>
      <c r="S19" s="53" t="n">
        <v>0</v>
      </c>
      <c r="T19" s="53" t="n">
        <v>0</v>
      </c>
      <c r="U19" s="53" t="n">
        <v>0</v>
      </c>
      <c r="V19" s="53" t="n">
        <v>0</v>
      </c>
      <c r="W19" s="54">
        <f>SUM(C19:V19)</f>
        <v/>
      </c>
    </row>
    <row r="20" ht="26" customHeight="1">
      <c r="A20" s="52" t="inlineStr">
        <is>
          <t>W02</t>
        </is>
      </c>
      <c r="B20" s="6">
        <f>IF('SWOT Weighted Assessment'!B22&lt;&gt;"", 'SWOT Weighted Assessment'!B22, "W02 [Disponible]")</f>
        <v/>
      </c>
      <c r="C20" s="53" t="n">
        <v>1</v>
      </c>
      <c r="D20" s="53" t="n">
        <v>2</v>
      </c>
      <c r="E20" s="53" t="n">
        <v>1</v>
      </c>
      <c r="F20" s="53" t="n">
        <v>1</v>
      </c>
      <c r="G20" s="53" t="n">
        <v>2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3</v>
      </c>
      <c r="N20" s="53" t="n">
        <v>2</v>
      </c>
      <c r="O20" s="53" t="n">
        <v>2</v>
      </c>
      <c r="P20" s="53" t="n">
        <v>3</v>
      </c>
      <c r="Q20" s="53" t="n">
        <v>1</v>
      </c>
      <c r="R20" s="53" t="n">
        <v>0</v>
      </c>
      <c r="S20" s="53" t="n">
        <v>0</v>
      </c>
      <c r="T20" s="53" t="n">
        <v>0</v>
      </c>
      <c r="U20" s="53" t="n">
        <v>0</v>
      </c>
      <c r="V20" s="53" t="n">
        <v>0</v>
      </c>
      <c r="W20" s="54">
        <f>SUM(C20:V20)</f>
        <v/>
      </c>
    </row>
    <row r="21" ht="26" customHeight="1">
      <c r="A21" s="52" t="inlineStr">
        <is>
          <t>W03</t>
        </is>
      </c>
      <c r="B21" s="6">
        <f>IF('SWOT Weighted Assessment'!B23&lt;&gt;"", 'SWOT Weighted Assessment'!B23, "W03 [Disponible]")</f>
        <v/>
      </c>
      <c r="C21" s="53" t="n">
        <v>1</v>
      </c>
      <c r="D21" s="53" t="n">
        <v>1</v>
      </c>
      <c r="E21" s="53" t="n">
        <v>2</v>
      </c>
      <c r="F21" s="53" t="n">
        <v>1</v>
      </c>
      <c r="G21" s="53" t="n">
        <v>1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3</v>
      </c>
      <c r="N21" s="53" t="n">
        <v>2</v>
      </c>
      <c r="O21" s="53" t="n">
        <v>3</v>
      </c>
      <c r="P21" s="53" t="n">
        <v>2</v>
      </c>
      <c r="Q21" s="53" t="n">
        <v>2</v>
      </c>
      <c r="R21" s="53" t="n">
        <v>0</v>
      </c>
      <c r="S21" s="53" t="n">
        <v>0</v>
      </c>
      <c r="T21" s="53" t="n">
        <v>0</v>
      </c>
      <c r="U21" s="53" t="n">
        <v>0</v>
      </c>
      <c r="V21" s="53" t="n">
        <v>0</v>
      </c>
      <c r="W21" s="54">
        <f>SUM(C21:V21)</f>
        <v/>
      </c>
    </row>
    <row r="22" ht="26" customHeight="1">
      <c r="A22" s="52" t="inlineStr">
        <is>
          <t>W04</t>
        </is>
      </c>
      <c r="B22" s="6">
        <f>IF('SWOT Weighted Assessment'!B24&lt;&gt;"", 'SWOT Weighted Assessment'!B24, "W04 [Disponible]")</f>
        <v/>
      </c>
      <c r="C22" s="53" t="n">
        <v>1</v>
      </c>
      <c r="D22" s="53" t="n">
        <v>1</v>
      </c>
      <c r="E22" s="53" t="n">
        <v>1</v>
      </c>
      <c r="F22" s="53" t="n">
        <v>2</v>
      </c>
      <c r="G22" s="53" t="n">
        <v>1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2</v>
      </c>
      <c r="N22" s="53" t="n">
        <v>1</v>
      </c>
      <c r="O22" s="53" t="n">
        <v>2</v>
      </c>
      <c r="P22" s="53" t="n">
        <v>2</v>
      </c>
      <c r="Q22" s="53" t="n">
        <v>1</v>
      </c>
      <c r="R22" s="53" t="n">
        <v>0</v>
      </c>
      <c r="S22" s="53" t="n">
        <v>0</v>
      </c>
      <c r="T22" s="53" t="n">
        <v>0</v>
      </c>
      <c r="U22" s="53" t="n">
        <v>0</v>
      </c>
      <c r="V22" s="53" t="n">
        <v>0</v>
      </c>
      <c r="W22" s="54">
        <f>SUM(C22:V22)</f>
        <v/>
      </c>
    </row>
    <row r="23" ht="26" customHeight="1">
      <c r="A23" s="52" t="inlineStr">
        <is>
          <t>W05</t>
        </is>
      </c>
      <c r="B23" s="6">
        <f>IF('SWOT Weighted Assessment'!B25&lt;&gt;"", 'SWOT Weighted Assessment'!B25, "W05 [Disponible]")</f>
        <v/>
      </c>
      <c r="C23" s="53" t="n">
        <v>1</v>
      </c>
      <c r="D23" s="53" t="n">
        <v>2</v>
      </c>
      <c r="E23" s="53" t="n">
        <v>1</v>
      </c>
      <c r="F23" s="53" t="n">
        <v>1</v>
      </c>
      <c r="G23" s="53" t="n">
        <v>1</v>
      </c>
      <c r="H23" s="53" t="n">
        <v>0</v>
      </c>
      <c r="I23" s="53" t="n">
        <v>0</v>
      </c>
      <c r="J23" s="53" t="n">
        <v>0</v>
      </c>
      <c r="K23" s="53" t="n">
        <v>0</v>
      </c>
      <c r="L23" s="53" t="n">
        <v>0</v>
      </c>
      <c r="M23" s="53" t="n">
        <v>1</v>
      </c>
      <c r="N23" s="53" t="n">
        <v>2</v>
      </c>
      <c r="O23" s="53" t="n">
        <v>1</v>
      </c>
      <c r="P23" s="53" t="n">
        <v>1</v>
      </c>
      <c r="Q23" s="53" t="n">
        <v>3</v>
      </c>
      <c r="R23" s="53" t="n">
        <v>0</v>
      </c>
      <c r="S23" s="53" t="n">
        <v>0</v>
      </c>
      <c r="T23" s="53" t="n">
        <v>0</v>
      </c>
      <c r="U23" s="53" t="n">
        <v>0</v>
      </c>
      <c r="V23" s="53" t="n">
        <v>0</v>
      </c>
      <c r="W23" s="54">
        <f>SUM(C23:V23)</f>
        <v/>
      </c>
    </row>
    <row r="24" ht="26" customHeight="1">
      <c r="A24" s="52" t="inlineStr">
        <is>
          <t>W06</t>
        </is>
      </c>
      <c r="B24" s="6">
        <f>IF('SWOT Weighted Assessment'!B26&lt;&gt;"", 'SWOT Weighted Assessment'!B26, "W06 [Disponible]")</f>
        <v/>
      </c>
      <c r="C24" s="53" t="n">
        <v>0</v>
      </c>
      <c r="D24" s="53" t="n">
        <v>0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53" t="n">
        <v>0</v>
      </c>
      <c r="K24" s="53" t="n">
        <v>0</v>
      </c>
      <c r="L24" s="53" t="n">
        <v>0</v>
      </c>
      <c r="M24" s="53" t="n">
        <v>0</v>
      </c>
      <c r="N24" s="53" t="n">
        <v>0</v>
      </c>
      <c r="O24" s="53" t="n">
        <v>0</v>
      </c>
      <c r="P24" s="53" t="n">
        <v>0</v>
      </c>
      <c r="Q24" s="53" t="n">
        <v>0</v>
      </c>
      <c r="R24" s="53" t="n">
        <v>0</v>
      </c>
      <c r="S24" s="53" t="n">
        <v>0</v>
      </c>
      <c r="T24" s="53" t="n">
        <v>0</v>
      </c>
      <c r="U24" s="53" t="n">
        <v>0</v>
      </c>
      <c r="V24" s="53" t="n">
        <v>0</v>
      </c>
      <c r="W24" s="54">
        <f>SUM(C24:V24)</f>
        <v/>
      </c>
    </row>
    <row r="25" ht="26" customHeight="1">
      <c r="A25" s="52" t="inlineStr">
        <is>
          <t>W07</t>
        </is>
      </c>
      <c r="B25" s="6">
        <f>IF('SWOT Weighted Assessment'!B27&lt;&gt;"", 'SWOT Weighted Assessment'!B27, "W07 [Disponible]")</f>
        <v/>
      </c>
      <c r="C25" s="53" t="n">
        <v>0</v>
      </c>
      <c r="D25" s="53" t="n">
        <v>0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53" t="n">
        <v>0</v>
      </c>
      <c r="K25" s="53" t="n">
        <v>0</v>
      </c>
      <c r="L25" s="53" t="n">
        <v>0</v>
      </c>
      <c r="M25" s="53" t="n">
        <v>0</v>
      </c>
      <c r="N25" s="53" t="n">
        <v>0</v>
      </c>
      <c r="O25" s="53" t="n">
        <v>0</v>
      </c>
      <c r="P25" s="53" t="n">
        <v>0</v>
      </c>
      <c r="Q25" s="53" t="n">
        <v>0</v>
      </c>
      <c r="R25" s="53" t="n">
        <v>0</v>
      </c>
      <c r="S25" s="53" t="n">
        <v>0</v>
      </c>
      <c r="T25" s="53" t="n">
        <v>0</v>
      </c>
      <c r="U25" s="53" t="n">
        <v>0</v>
      </c>
      <c r="V25" s="53" t="n">
        <v>0</v>
      </c>
      <c r="W25" s="54">
        <f>SUM(C25:V25)</f>
        <v/>
      </c>
    </row>
    <row r="26" ht="26" customHeight="1">
      <c r="A26" s="52" t="inlineStr">
        <is>
          <t>W08</t>
        </is>
      </c>
      <c r="B26" s="6">
        <f>IF('SWOT Weighted Assessment'!B28&lt;&gt;"", 'SWOT Weighted Assessment'!B28, "W08 [Disponible]")</f>
        <v/>
      </c>
      <c r="C26" s="53" t="n">
        <v>0</v>
      </c>
      <c r="D26" s="53" t="n">
        <v>0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53" t="n">
        <v>0</v>
      </c>
      <c r="K26" s="53" t="n">
        <v>0</v>
      </c>
      <c r="L26" s="53" t="n">
        <v>0</v>
      </c>
      <c r="M26" s="53" t="n">
        <v>0</v>
      </c>
      <c r="N26" s="53" t="n">
        <v>0</v>
      </c>
      <c r="O26" s="53" t="n">
        <v>0</v>
      </c>
      <c r="P26" s="53" t="n">
        <v>0</v>
      </c>
      <c r="Q26" s="53" t="n">
        <v>0</v>
      </c>
      <c r="R26" s="53" t="n">
        <v>0</v>
      </c>
      <c r="S26" s="53" t="n">
        <v>0</v>
      </c>
      <c r="T26" s="53" t="n">
        <v>0</v>
      </c>
      <c r="U26" s="53" t="n">
        <v>0</v>
      </c>
      <c r="V26" s="53" t="n">
        <v>0</v>
      </c>
      <c r="W26" s="54">
        <f>SUM(C26:V26)</f>
        <v/>
      </c>
    </row>
    <row r="27" ht="26" customHeight="1">
      <c r="A27" s="52" t="inlineStr">
        <is>
          <t>W09</t>
        </is>
      </c>
      <c r="B27" s="6">
        <f>IF('SWOT Weighted Assessment'!B29&lt;&gt;"", 'SWOT Weighted Assessment'!B29, "W09 [Disponible]")</f>
        <v/>
      </c>
      <c r="C27" s="53" t="n">
        <v>0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53" t="n">
        <v>0</v>
      </c>
      <c r="K27" s="53" t="n">
        <v>0</v>
      </c>
      <c r="L27" s="53" t="n">
        <v>0</v>
      </c>
      <c r="M27" s="53" t="n">
        <v>0</v>
      </c>
      <c r="N27" s="53" t="n">
        <v>0</v>
      </c>
      <c r="O27" s="53" t="n">
        <v>0</v>
      </c>
      <c r="P27" s="53" t="n">
        <v>0</v>
      </c>
      <c r="Q27" s="53" t="n">
        <v>0</v>
      </c>
      <c r="R27" s="53" t="n">
        <v>0</v>
      </c>
      <c r="S27" s="53" t="n">
        <v>0</v>
      </c>
      <c r="T27" s="53" t="n">
        <v>0</v>
      </c>
      <c r="U27" s="53" t="n">
        <v>0</v>
      </c>
      <c r="V27" s="53" t="n">
        <v>0</v>
      </c>
      <c r="W27" s="54">
        <f>SUM(C27:V27)</f>
        <v/>
      </c>
    </row>
    <row r="28" ht="26" customHeight="1">
      <c r="A28" s="52" t="inlineStr">
        <is>
          <t>W10</t>
        </is>
      </c>
      <c r="B28" s="6">
        <f>IF('SWOT Weighted Assessment'!B30&lt;&gt;"", 'SWOT Weighted Assessment'!B30, "W10 [Disponible]")</f>
        <v/>
      </c>
      <c r="C28" s="53" t="n">
        <v>0</v>
      </c>
      <c r="D28" s="53" t="n">
        <v>0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53" t="n">
        <v>0</v>
      </c>
      <c r="K28" s="53" t="n">
        <v>0</v>
      </c>
      <c r="L28" s="53" t="n">
        <v>0</v>
      </c>
      <c r="M28" s="53" t="n">
        <v>0</v>
      </c>
      <c r="N28" s="53" t="n">
        <v>0</v>
      </c>
      <c r="O28" s="53" t="n">
        <v>0</v>
      </c>
      <c r="P28" s="53" t="n">
        <v>0</v>
      </c>
      <c r="Q28" s="53" t="n">
        <v>0</v>
      </c>
      <c r="R28" s="53" t="n">
        <v>0</v>
      </c>
      <c r="S28" s="53" t="n">
        <v>0</v>
      </c>
      <c r="T28" s="53" t="n">
        <v>0</v>
      </c>
      <c r="U28" s="53" t="n">
        <v>0</v>
      </c>
      <c r="V28" s="53" t="n">
        <v>0</v>
      </c>
      <c r="W28" s="54">
        <f>SUM(C28:V28)</f>
        <v/>
      </c>
    </row>
    <row r="29" ht="26" customHeight="1">
      <c r="A29" s="31" t="inlineStr"/>
      <c r="B29" s="32" t="inlineStr">
        <is>
          <t>Column Total</t>
        </is>
      </c>
      <c r="C29" s="56">
        <f>SUM(C8:C17)+SUM(C19:C28)</f>
        <v/>
      </c>
      <c r="D29" s="56">
        <f>SUM(D8:D17)+SUM(D19:D28)</f>
        <v/>
      </c>
      <c r="E29" s="56">
        <f>SUM(E8:E17)+SUM(E19:E28)</f>
        <v/>
      </c>
      <c r="F29" s="56">
        <f>SUM(F8:F17)+SUM(F19:F28)</f>
        <v/>
      </c>
      <c r="G29" s="56">
        <f>SUM(G8:G17)+SUM(G19:G28)</f>
        <v/>
      </c>
      <c r="H29" s="56">
        <f>SUM(H8:H17)+SUM(H19:H28)</f>
        <v/>
      </c>
      <c r="I29" s="56">
        <f>SUM(I8:I17)+SUM(I19:I28)</f>
        <v/>
      </c>
      <c r="J29" s="56">
        <f>SUM(J8:J17)+SUM(J19:J28)</f>
        <v/>
      </c>
      <c r="K29" s="56">
        <f>SUM(K8:K17)+SUM(K19:K28)</f>
        <v/>
      </c>
      <c r="L29" s="56">
        <f>SUM(L8:L17)+SUM(L19:L28)</f>
        <v/>
      </c>
      <c r="M29" s="56">
        <f>SUM(M8:M17)+SUM(M19:M28)</f>
        <v/>
      </c>
      <c r="N29" s="56">
        <f>SUM(N8:N17)+SUM(N19:N28)</f>
        <v/>
      </c>
      <c r="O29" s="56">
        <f>SUM(O8:O17)+SUM(O19:O28)</f>
        <v/>
      </c>
      <c r="P29" s="56">
        <f>SUM(P8:P17)+SUM(P19:P28)</f>
        <v/>
      </c>
      <c r="Q29" s="56">
        <f>SUM(Q8:Q17)+SUM(Q19:Q28)</f>
        <v/>
      </c>
      <c r="R29" s="56">
        <f>SUM(R8:R17)+SUM(R19:R28)</f>
        <v/>
      </c>
      <c r="S29" s="56">
        <f>SUM(S8:S17)+SUM(S19:S28)</f>
        <v/>
      </c>
      <c r="T29" s="56">
        <f>SUM(T8:T17)+SUM(T19:T28)</f>
        <v/>
      </c>
      <c r="U29" s="56">
        <f>SUM(U8:U17)+SUM(U19:U28)</f>
        <v/>
      </c>
      <c r="V29" s="56">
        <f>SUM(V8:V17)+SUM(V19:V28)</f>
        <v/>
      </c>
      <c r="W29" s="57">
        <f>SUM(W8:W17)+SUM(W19:W28)</f>
        <v/>
      </c>
    </row>
    <row r="31" ht="26" customHeight="1">
      <c r="B31" s="19" t="inlineStr">
        <is>
          <t>Total Offensive Synergy (S x O)</t>
        </is>
      </c>
      <c r="C31" s="19" t="n"/>
      <c r="D31" s="19" t="n"/>
      <c r="E31" s="19" t="n"/>
      <c r="F31" s="19" t="n"/>
      <c r="H31" s="19" t="inlineStr">
        <is>
          <t>Total Defensive Moat (S x T)</t>
        </is>
      </c>
      <c r="I31" s="19" t="n"/>
      <c r="J31" s="19" t="n"/>
      <c r="K31" s="19" t="n"/>
      <c r="L31" s="19" t="n"/>
      <c r="N31" s="19" t="inlineStr">
        <is>
          <t>Turnaround Friction (W x O)</t>
        </is>
      </c>
      <c r="O31" s="19" t="n"/>
      <c r="P31" s="19" t="n"/>
      <c r="Q31" s="19" t="n"/>
      <c r="R31" s="19" t="n"/>
      <c r="T31" s="19" t="inlineStr">
        <is>
          <t>Critical Vulnerability (W x T)</t>
        </is>
      </c>
      <c r="U31" s="19" t="n"/>
      <c r="V31" s="19" t="n"/>
      <c r="W31" s="19" t="n"/>
    </row>
    <row r="32" ht="34" customHeight="1">
      <c r="B32" s="58">
        <f>SUM(C8:L17)</f>
        <v/>
      </c>
      <c r="C32" s="58" t="n"/>
      <c r="D32" s="58" t="n"/>
      <c r="E32" s="58" t="n"/>
      <c r="F32" s="58" t="n"/>
      <c r="H32" s="59">
        <f>SUM(M8:V17)</f>
        <v/>
      </c>
      <c r="I32" s="59" t="n"/>
      <c r="J32" s="59" t="n"/>
      <c r="K32" s="59" t="n"/>
      <c r="L32" s="59" t="n"/>
      <c r="N32" s="60">
        <f>SUM(C19:L28)</f>
        <v/>
      </c>
      <c r="O32" s="60" t="n"/>
      <c r="P32" s="60" t="n"/>
      <c r="Q32" s="60" t="n"/>
      <c r="R32" s="60" t="n"/>
      <c r="T32" s="61">
        <f>SUM(M19:V28)</f>
        <v/>
      </c>
      <c r="U32" s="61" t="n"/>
      <c r="V32" s="61" t="n"/>
      <c r="W32" s="61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0" formatRows="0" sort="0" password="E532"/>
  <mergeCells count="14">
    <mergeCell ref="N31:R31"/>
    <mergeCell ref="C5:L5"/>
    <mergeCell ref="T32:W32"/>
    <mergeCell ref="A18:W18"/>
    <mergeCell ref="M5:V5"/>
    <mergeCell ref="T31:W31"/>
    <mergeCell ref="H32:L32"/>
    <mergeCell ref="A3:W3"/>
    <mergeCell ref="B31:F31"/>
    <mergeCell ref="N32:R32"/>
    <mergeCell ref="A7:W7"/>
    <mergeCell ref="B32:F32"/>
    <mergeCell ref="A2:W2"/>
    <mergeCell ref="H31:L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3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58" customWidth="1" min="3" max="3"/>
    <col width="34" customWidth="1" min="4" max="4"/>
    <col width="13" customWidth="1" min="5" max="5"/>
    <col width="16" customWidth="1" min="6" max="6"/>
    <col width="16" customWidth="1" min="7" max="7"/>
    <col width="36" customWidth="1" min="8" max="8"/>
    <col width="15" customWidth="1" min="9" max="9"/>
  </cols>
  <sheetData>
    <row r="2" ht="36" customHeight="1">
      <c r="A2" s="1" t="inlineStr">
        <is>
          <t>DATALARIA | C-LEVEL STRATEGIC ACTION ROADMAP (TOWS / CAME)</t>
        </is>
      </c>
    </row>
    <row r="3" ht="24" customHeight="1">
      <c r="A3" s="2" t="inlineStr">
        <is>
          <t>Operational translation of the strategic decision matrix into capital allocation initiatives with C-Level ownership, timeline, and P&amp;L targets.</t>
        </is>
      </c>
    </row>
    <row r="5" ht="26" customHeight="1">
      <c r="A5" s="36" t="inlineStr">
        <is>
          <t>1. WEAKNESS MITIGATION / TURNAROUND (WO Strategies)</t>
        </is>
      </c>
    </row>
    <row r="6" ht="24" customHeight="1">
      <c r="A6" s="24" t="inlineStr">
        <is>
          <t>Action ID</t>
        </is>
      </c>
      <c r="B6" s="24" t="inlineStr">
        <is>
          <t>Key Factor</t>
        </is>
      </c>
      <c r="C6" s="25" t="inlineStr">
        <is>
          <t>Strategic Initiative &amp; Scope</t>
        </is>
      </c>
      <c r="D6" s="25" t="inlineStr">
        <is>
          <t>C-Level Owner</t>
        </is>
      </c>
      <c r="E6" s="24" t="inlineStr">
        <is>
          <t>Target</t>
        </is>
      </c>
      <c r="F6" s="24" t="inlineStr">
        <is>
          <t>CAPEX (€)</t>
        </is>
      </c>
      <c r="G6" s="24" t="inlineStr">
        <is>
          <t>OPEX (€)</t>
        </is>
      </c>
      <c r="H6" s="25" t="inlineStr">
        <is>
          <t>P&amp;L Target Metric / KPI</t>
        </is>
      </c>
      <c r="I6" s="24" t="inlineStr">
        <is>
          <t>Approval</t>
        </is>
      </c>
    </row>
    <row r="7" ht="36" customHeight="1">
      <c r="A7" s="26" t="inlineStr">
        <is>
          <t>TOWS-W01</t>
        </is>
      </c>
      <c r="B7" s="62" t="inlineStr">
        <is>
          <t>W01 + O03</t>
        </is>
      </c>
      <c r="C7" s="27" t="inlineStr">
        <is>
          <t>Commercial Diversification Program: Launch LatAm channel to compress top-client concentration below 25%</t>
        </is>
      </c>
      <c r="D7" s="27" t="inlineStr">
        <is>
          <t>Chief Commercial Officer</t>
        </is>
      </c>
      <c r="E7" s="53" t="inlineStr">
        <is>
          <t>Q2-Q4</t>
        </is>
      </c>
      <c r="F7" s="63" t="n">
        <v>45000</v>
      </c>
      <c r="G7" s="63" t="n">
        <v>60000</v>
      </c>
      <c r="H7" s="27" t="inlineStr">
        <is>
          <t>Top-2 revenue concentration &lt; 25%</t>
        </is>
      </c>
      <c r="I7" s="62" t="inlineStr">
        <is>
          <t>Approved</t>
        </is>
      </c>
    </row>
    <row r="8" ht="36" customHeight="1">
      <c r="A8" s="26" t="inlineStr">
        <is>
          <t>TOWS-W02</t>
        </is>
      </c>
      <c r="B8" s="62" t="inlineStr">
        <is>
          <t>W02 + O05</t>
        </is>
      </c>
      <c r="C8" s="27" t="inlineStr">
        <is>
          <t>Enterprise Sales Cycle Automation: Tier-1 SI co-selling framework to reduce deal velocity to 5 months</t>
        </is>
      </c>
      <c r="D8" s="27" t="inlineStr">
        <is>
          <t>VP Sales Enterprise</t>
        </is>
      </c>
      <c r="E8" s="53" t="inlineStr">
        <is>
          <t>Q1-Q3</t>
        </is>
      </c>
      <c r="F8" s="63" t="n">
        <v>25000</v>
      </c>
      <c r="G8" s="63" t="n">
        <v>35000</v>
      </c>
      <c r="H8" s="27" t="inlineStr">
        <is>
          <t>Average cycle time ≤ 5.2 months</t>
        </is>
      </c>
      <c r="I8" s="62" t="inlineStr">
        <is>
          <t>Approved</t>
        </is>
      </c>
    </row>
    <row r="9" ht="36" customHeight="1">
      <c r="A9" s="26" t="inlineStr">
        <is>
          <t>TOWS-W03</t>
        </is>
      </c>
      <c r="B9" s="62" t="inlineStr">
        <is>
          <t>W05 + O02</t>
        </is>
      </c>
      <c r="C9" s="27" t="inlineStr">
        <is>
          <t>Legacy Billing Refactor: Modernize multi-currency engine to cloud-native microservices</t>
        </is>
      </c>
      <c r="D9" s="27" t="inlineStr">
        <is>
          <t>Chief Technology Officer</t>
        </is>
      </c>
      <c r="E9" s="53" t="inlineStr">
        <is>
          <t>Q2-Q3</t>
        </is>
      </c>
      <c r="F9" s="63" t="n">
        <v>40000</v>
      </c>
      <c r="G9" s="63" t="n">
        <v>15000</v>
      </c>
      <c r="H9" s="27" t="inlineStr">
        <is>
          <t>Maintenance debt &lt; 6% capacity</t>
        </is>
      </c>
      <c r="I9" s="62" t="inlineStr">
        <is>
          <t>In Review</t>
        </is>
      </c>
    </row>
    <row r="10" ht="26" customHeight="1">
      <c r="A10" s="32" t="inlineStr">
        <is>
          <t>SECTION TOTAL INVESTMENT (C)</t>
        </is>
      </c>
      <c r="F10" s="64">
        <f>SUM(F7:F9)</f>
        <v/>
      </c>
      <c r="G10" s="64">
        <f>SUM(G7:G9)</f>
        <v/>
      </c>
      <c r="H10" s="31" t="inlineStr"/>
      <c r="I10" s="31" t="inlineStr"/>
    </row>
    <row r="12" ht="26" customHeight="1">
      <c r="A12" s="42" t="inlineStr">
        <is>
          <t>2. THREAT DEFENSE &amp; RISK HEDGING (ST Strategies)</t>
        </is>
      </c>
    </row>
    <row r="13" ht="24" customHeight="1">
      <c r="A13" s="24" t="inlineStr">
        <is>
          <t>Action ID</t>
        </is>
      </c>
      <c r="B13" s="24" t="inlineStr">
        <is>
          <t>Key Factor</t>
        </is>
      </c>
      <c r="C13" s="25" t="inlineStr">
        <is>
          <t>Strategic Initiative &amp; Scope</t>
        </is>
      </c>
      <c r="D13" s="25" t="inlineStr">
        <is>
          <t>C-Level Owner</t>
        </is>
      </c>
      <c r="E13" s="24" t="inlineStr">
        <is>
          <t>Target</t>
        </is>
      </c>
      <c r="F13" s="24" t="inlineStr">
        <is>
          <t>CAPEX (€)</t>
        </is>
      </c>
      <c r="G13" s="24" t="inlineStr">
        <is>
          <t>OPEX (€)</t>
        </is>
      </c>
      <c r="H13" s="25" t="inlineStr">
        <is>
          <t>P&amp;L Target Metric / KPI</t>
        </is>
      </c>
      <c r="I13" s="24" t="inlineStr">
        <is>
          <t>Approval</t>
        </is>
      </c>
    </row>
    <row r="14" ht="36" customHeight="1">
      <c r="A14" s="26" t="inlineStr">
        <is>
          <t>TOWS-T01</t>
        </is>
      </c>
      <c r="B14" s="62" t="inlineStr">
        <is>
          <t>S01 + T01</t>
        </is>
      </c>
      <c r="C14" s="27" t="inlineStr">
        <is>
          <t>Multi-Year Contract Lock-in: Secure 3-year master agreements with top accounts to defeat Asian discount pricing</t>
        </is>
      </c>
      <c r="D14" s="27" t="inlineStr">
        <is>
          <t>Chief Executive Officer</t>
        </is>
      </c>
      <c r="E14" s="53" t="inlineStr">
        <is>
          <t>Q1-Q2</t>
        </is>
      </c>
      <c r="F14" s="63" t="n">
        <v>10000</v>
      </c>
      <c r="G14" s="63" t="n">
        <v>20000</v>
      </c>
      <c r="H14" s="27" t="inlineStr">
        <is>
          <t>Net ARR churn &lt; 1.5%</t>
        </is>
      </c>
      <c r="I14" s="62" t="inlineStr">
        <is>
          <t>Approved</t>
        </is>
      </c>
    </row>
    <row r="15" ht="36" customHeight="1">
      <c r="A15" s="26" t="inlineStr">
        <is>
          <t>TOWS-T02</t>
        </is>
      </c>
      <c r="B15" s="62" t="inlineStr">
        <is>
          <t>S04 + T05</t>
        </is>
      </c>
      <c r="C15" s="27" t="inlineStr">
        <is>
          <t>Accelerated NIS2 &amp; DORA Compliance: Execute pre-audit readiness for enterprise supply chain mandates</t>
        </is>
      </c>
      <c r="D15" s="27" t="inlineStr">
        <is>
          <t>Chief Information Security Officer</t>
        </is>
      </c>
      <c r="E15" s="53" t="inlineStr">
        <is>
          <t>Q2-Q3</t>
        </is>
      </c>
      <c r="F15" s="63" t="n">
        <v>35000</v>
      </c>
      <c r="G15" s="63" t="n">
        <v>15000</v>
      </c>
      <c r="H15" s="27" t="inlineStr">
        <is>
          <t>100% regulatory audit pass</t>
        </is>
      </c>
      <c r="I15" s="62" t="inlineStr">
        <is>
          <t>Approved</t>
        </is>
      </c>
    </row>
    <row r="16" ht="26" customHeight="1">
      <c r="A16" s="32" t="inlineStr">
        <is>
          <t>SECTION TOTAL INVESTMENT (A)</t>
        </is>
      </c>
      <c r="F16" s="64">
        <f>SUM(F14:F15)</f>
        <v/>
      </c>
      <c r="G16" s="64">
        <f>SUM(G14:G15)</f>
        <v/>
      </c>
      <c r="H16" s="31" t="inlineStr"/>
      <c r="I16" s="31" t="inlineStr"/>
    </row>
    <row r="18" ht="26" customHeight="1">
      <c r="A18" s="23" t="inlineStr">
        <is>
          <t>3. STRENGTH PRESERVATION &amp; MOAT EXPANSION (Competitive Defense)</t>
        </is>
      </c>
    </row>
    <row r="19" ht="24" customHeight="1">
      <c r="A19" s="24" t="inlineStr">
        <is>
          <t>Action ID</t>
        </is>
      </c>
      <c r="B19" s="24" t="inlineStr">
        <is>
          <t>Key Factor</t>
        </is>
      </c>
      <c r="C19" s="25" t="inlineStr">
        <is>
          <t>Strategic Initiative &amp; Scope</t>
        </is>
      </c>
      <c r="D19" s="25" t="inlineStr">
        <is>
          <t>C-Level Owner</t>
        </is>
      </c>
      <c r="E19" s="24" t="inlineStr">
        <is>
          <t>Target</t>
        </is>
      </c>
      <c r="F19" s="24" t="inlineStr">
        <is>
          <t>CAPEX (€)</t>
        </is>
      </c>
      <c r="G19" s="24" t="inlineStr">
        <is>
          <t>OPEX (€)</t>
        </is>
      </c>
      <c r="H19" s="25" t="inlineStr">
        <is>
          <t>P&amp;L Target Metric / KPI</t>
        </is>
      </c>
      <c r="I19" s="24" t="inlineStr">
        <is>
          <t>Approval</t>
        </is>
      </c>
    </row>
    <row r="20" ht="36" customHeight="1">
      <c r="A20" s="26" t="inlineStr">
        <is>
          <t>TOWS-S01</t>
        </is>
      </c>
      <c r="B20" s="62" t="inlineStr">
        <is>
          <t>S02 + O02</t>
        </is>
      </c>
      <c r="C20" s="27" t="inlineStr">
        <is>
          <t>IP Moat Expansion: File supplemental patent claims in US/Asia for core predictive neural architecture</t>
        </is>
      </c>
      <c r="D20" s="27" t="inlineStr">
        <is>
          <t>Head of Legal &amp; IP</t>
        </is>
      </c>
      <c r="E20" s="53" t="inlineStr">
        <is>
          <t>Q3-Q4</t>
        </is>
      </c>
      <c r="F20" s="63" t="n">
        <v>30000</v>
      </c>
      <c r="G20" s="63" t="n">
        <v>10000</v>
      </c>
      <c r="H20" s="27" t="inlineStr">
        <is>
          <t>2 supplemental patents granted</t>
        </is>
      </c>
      <c r="I20" s="62" t="inlineStr">
        <is>
          <t>Proposed</t>
        </is>
      </c>
    </row>
    <row r="21" ht="36" customHeight="1">
      <c r="A21" s="26" t="inlineStr">
        <is>
          <t>TOWS-S02</t>
        </is>
      </c>
      <c r="B21" s="62" t="inlineStr">
        <is>
          <t>S05 + T02</t>
        </is>
      </c>
      <c r="C21" s="27" t="inlineStr">
        <is>
          <t>Senior R&amp;D Retention Moat: Deploy LTIP / Phantom Equity incentive package to retain top AI engineers</t>
        </is>
      </c>
      <c r="D21" s="27" t="inlineStr">
        <is>
          <t>Chief People Officer</t>
        </is>
      </c>
      <c r="E21" s="53" t="inlineStr">
        <is>
          <t>Q1-Q4</t>
        </is>
      </c>
      <c r="F21" s="63" t="n">
        <v>0</v>
      </c>
      <c r="G21" s="63" t="n">
        <v>45000</v>
      </c>
      <c r="H21" s="27" t="inlineStr">
        <is>
          <t>Voluntary engineering churn &lt; 3%</t>
        </is>
      </c>
      <c r="I21" s="62" t="inlineStr">
        <is>
          <t>Approved</t>
        </is>
      </c>
    </row>
    <row r="22" ht="26" customHeight="1">
      <c r="A22" s="32" t="inlineStr">
        <is>
          <t>SECTION TOTAL INVESTMENT (M)</t>
        </is>
      </c>
      <c r="F22" s="64">
        <f>SUM(F20:F21)</f>
        <v/>
      </c>
      <c r="G22" s="64">
        <f>SUM(G20:G21)</f>
        <v/>
      </c>
      <c r="H22" s="31" t="inlineStr"/>
      <c r="I22" s="31" t="inlineStr"/>
    </row>
    <row r="24" ht="26" customHeight="1">
      <c r="A24" s="39" t="inlineStr">
        <is>
          <t>4. OPPORTUNITY CAPTURE &amp; AGGRESSIVE GROWTH (SO Strategies)</t>
        </is>
      </c>
    </row>
    <row r="25" ht="24" customHeight="1">
      <c r="A25" s="24" t="inlineStr">
        <is>
          <t>Action ID</t>
        </is>
      </c>
      <c r="B25" s="24" t="inlineStr">
        <is>
          <t>Key Factor</t>
        </is>
      </c>
      <c r="C25" s="25" t="inlineStr">
        <is>
          <t>Strategic Initiative &amp; Scope</t>
        </is>
      </c>
      <c r="D25" s="25" t="inlineStr">
        <is>
          <t>C-Level Owner</t>
        </is>
      </c>
      <c r="E25" s="24" t="inlineStr">
        <is>
          <t>Target</t>
        </is>
      </c>
      <c r="F25" s="24" t="inlineStr">
        <is>
          <t>CAPEX (€)</t>
        </is>
      </c>
      <c r="G25" s="24" t="inlineStr">
        <is>
          <t>OPEX (€)</t>
        </is>
      </c>
      <c r="H25" s="25" t="inlineStr">
        <is>
          <t>P&amp;L Target Metric / KPI</t>
        </is>
      </c>
      <c r="I25" s="24" t="inlineStr">
        <is>
          <t>Approval</t>
        </is>
      </c>
    </row>
    <row r="26" ht="36" customHeight="1">
      <c r="A26" s="26" t="inlineStr">
        <is>
          <t>TOWS-O01</t>
        </is>
      </c>
      <c r="B26" s="62" t="inlineStr">
        <is>
          <t>S01 + O01</t>
        </is>
      </c>
      <c r="C26" s="27" t="inlineStr">
        <is>
          <t>Industrial SaaS Scaling: Deploy subsidy-backed smart manufacturing module across 40 manufacturing sites</t>
        </is>
      </c>
      <c r="D26" s="27" t="inlineStr">
        <is>
          <t>Chief Operating Officer</t>
        </is>
      </c>
      <c r="E26" s="53" t="inlineStr">
        <is>
          <t>Q1-Q3</t>
        </is>
      </c>
      <c r="F26" s="63" t="n">
        <v>65000</v>
      </c>
      <c r="G26" s="63" t="n">
        <v>40000</v>
      </c>
      <c r="H26" s="27" t="inlineStr">
        <is>
          <t>+€1.2M incremental ARR</t>
        </is>
      </c>
      <c r="I26" s="62" t="inlineStr">
        <is>
          <t>Approved</t>
        </is>
      </c>
    </row>
    <row r="27" ht="36" customHeight="1">
      <c r="A27" s="26" t="inlineStr">
        <is>
          <t>TOWS-O02</t>
        </is>
      </c>
      <c r="B27" s="62" t="inlineStr">
        <is>
          <t>S03 + O05</t>
        </is>
      </c>
      <c r="C27" s="27" t="inlineStr">
        <is>
          <t>Tier-1 SI Joint Go-to-Market: Embed proprietary engine into global systems integrator enterprise catalog</t>
        </is>
      </c>
      <c r="D27" s="27" t="inlineStr">
        <is>
          <t>Chief Commercial Officer</t>
        </is>
      </c>
      <c r="E27" s="53" t="inlineStr">
        <is>
          <t>Q2-Q4</t>
        </is>
      </c>
      <c r="F27" s="63" t="n">
        <v>20000</v>
      </c>
      <c r="G27" s="63" t="n">
        <v>30000</v>
      </c>
      <c r="H27" s="27" t="inlineStr">
        <is>
          <t>+8 new Fortune 500 logos</t>
        </is>
      </c>
      <c r="I27" s="62" t="inlineStr">
        <is>
          <t>Approved</t>
        </is>
      </c>
    </row>
    <row r="28" ht="26" customHeight="1">
      <c r="A28" s="32" t="inlineStr">
        <is>
          <t>SECTION TOTAL INVESTMENT (E)</t>
        </is>
      </c>
      <c r="F28" s="64">
        <f>SUM(F26:F27)</f>
        <v/>
      </c>
      <c r="G28" s="64">
        <f>SUM(G26:G27)</f>
        <v/>
      </c>
      <c r="H28" s="31" t="inlineStr"/>
      <c r="I28" s="31" t="inlineStr"/>
    </row>
    <row r="30" ht="32" customHeight="1">
      <c r="A30" s="65" t="inlineStr">
        <is>
          <t>TOTAL STRATEGIC BUDGET REQUIRED (CAPEX + OPEX)</t>
        </is>
      </c>
      <c r="B30" s="65" t="n"/>
      <c r="C30" s="65" t="n"/>
      <c r="D30" s="65" t="n"/>
      <c r="E30" s="65" t="n"/>
      <c r="F30" s="66">
        <f>F10+F16+F22+F28</f>
        <v/>
      </c>
      <c r="G30" s="66">
        <f>G10+G16+G22+G28</f>
        <v/>
      </c>
      <c r="H30" s="67">
        <f>F30+G30</f>
        <v/>
      </c>
      <c r="I30" s="68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0" formatRows="0" sort="0" password="E532"/>
  <mergeCells count="12">
    <mergeCell ref="A30:E30"/>
    <mergeCell ref="A2:I2"/>
    <mergeCell ref="A16:E16"/>
    <mergeCell ref="A5:I5"/>
    <mergeCell ref="A10:E10"/>
    <mergeCell ref="A28:E28"/>
    <mergeCell ref="A18:I18"/>
    <mergeCell ref="A3:I3"/>
    <mergeCell ref="A12:I12"/>
    <mergeCell ref="A22:E22"/>
    <mergeCell ref="A24:I24"/>
    <mergeCell ref="H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2026-09-26T16:03:39Z</dcterms:created>
  <dcterms:modified xmlns:dcterms="http://purl.org/dc/terms/" xmlns:xsi="http://www.w3.org/2001/XMLSchema-instance" xsi:type="dcterms:W3CDTF">2026-09-26T16:03:40Z</dcterms:modified>
</cp:coreProperties>
</file>