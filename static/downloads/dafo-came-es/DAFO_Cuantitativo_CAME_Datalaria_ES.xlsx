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lae\OneDrive\Emprendiendo\datalaria\static\downloads\dafo-came-es\"/>
    </mc:Choice>
  </mc:AlternateContent>
  <bookViews>
    <workbookView xWindow="0" yWindow="0" windowWidth="25125" windowHeight="12300" activeTab="2"/>
  </bookViews>
  <sheets>
    <sheet name="Dashboard Ejecutivo" sheetId="1" r:id="rId1"/>
    <sheet name="Evaluación FODA" sheetId="2" r:id="rId2"/>
    <sheet name="Matriz de Cruce" sheetId="3" r:id="rId3"/>
    <sheet name="Plan CAME" sheetId="4" r:id="rId4"/>
  </sheets>
  <calcPr calcId="162913"/>
</workbook>
</file>

<file path=xl/calcChain.xml><?xml version="1.0" encoding="utf-8"?>
<calcChain xmlns="http://schemas.openxmlformats.org/spreadsheetml/2006/main">
  <c r="A17" i="1" l="1"/>
  <c r="G28" i="4"/>
  <c r="F28" i="4"/>
  <c r="G22" i="4"/>
  <c r="F22" i="4"/>
  <c r="G16" i="4"/>
  <c r="F16" i="4"/>
  <c r="G10" i="4"/>
  <c r="G30" i="4" s="1"/>
  <c r="F10" i="4"/>
  <c r="F30" i="4" s="1"/>
  <c r="H30" i="4" s="1"/>
  <c r="T32" i="3"/>
  <c r="N32" i="3"/>
  <c r="H32" i="3"/>
  <c r="B32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W28" i="3"/>
  <c r="B28" i="3"/>
  <c r="W27" i="3"/>
  <c r="B27" i="3"/>
  <c r="W26" i="3"/>
  <c r="B26" i="3"/>
  <c r="W25" i="3"/>
  <c r="B25" i="3"/>
  <c r="W24" i="3"/>
  <c r="B24" i="3"/>
  <c r="W23" i="3"/>
  <c r="B23" i="3"/>
  <c r="W22" i="3"/>
  <c r="B22" i="3"/>
  <c r="W21" i="3"/>
  <c r="B21" i="3"/>
  <c r="W20" i="3"/>
  <c r="B20" i="3"/>
  <c r="W19" i="3"/>
  <c r="B19" i="3"/>
  <c r="W17" i="3"/>
  <c r="B17" i="3"/>
  <c r="W16" i="3"/>
  <c r="B16" i="3"/>
  <c r="W15" i="3"/>
  <c r="B15" i="3"/>
  <c r="W14" i="3"/>
  <c r="B14" i="3"/>
  <c r="W13" i="3"/>
  <c r="B13" i="3"/>
  <c r="W12" i="3"/>
  <c r="B12" i="3"/>
  <c r="W11" i="3"/>
  <c r="B11" i="3"/>
  <c r="W10" i="3"/>
  <c r="B10" i="3"/>
  <c r="W9" i="3"/>
  <c r="W29" i="3" s="1"/>
  <c r="B9" i="3"/>
  <c r="W8" i="3"/>
  <c r="B8" i="3"/>
  <c r="E62" i="2"/>
  <c r="D62" i="2"/>
  <c r="F61" i="2"/>
  <c r="F60" i="2"/>
  <c r="F59" i="2"/>
  <c r="F58" i="2"/>
  <c r="F57" i="2"/>
  <c r="F56" i="2"/>
  <c r="F55" i="2"/>
  <c r="F54" i="2"/>
  <c r="F53" i="2"/>
  <c r="F52" i="2"/>
  <c r="F62" i="2" s="1"/>
  <c r="C9" i="1" s="1"/>
  <c r="E47" i="2"/>
  <c r="D47" i="2"/>
  <c r="F46" i="2"/>
  <c r="F45" i="2"/>
  <c r="F44" i="2"/>
  <c r="F43" i="2"/>
  <c r="F42" i="2"/>
  <c r="F41" i="2"/>
  <c r="F40" i="2"/>
  <c r="F39" i="2"/>
  <c r="F38" i="2"/>
  <c r="F37" i="2"/>
  <c r="F47" i="2" s="1"/>
  <c r="C8" i="1" s="1"/>
  <c r="C13" i="1" s="1"/>
  <c r="E32" i="2"/>
  <c r="D32" i="2"/>
  <c r="F31" i="2"/>
  <c r="F30" i="2"/>
  <c r="F29" i="2"/>
  <c r="F28" i="2"/>
  <c r="F27" i="2"/>
  <c r="F26" i="2"/>
  <c r="F25" i="2"/>
  <c r="F24" i="2"/>
  <c r="F23" i="2"/>
  <c r="F22" i="2"/>
  <c r="F32" i="2" s="1"/>
  <c r="C7" i="1" s="1"/>
  <c r="E17" i="2"/>
  <c r="D17" i="2"/>
  <c r="F16" i="2"/>
  <c r="F15" i="2"/>
  <c r="F14" i="2"/>
  <c r="F13" i="2"/>
  <c r="F12" i="2"/>
  <c r="F11" i="2"/>
  <c r="F10" i="2"/>
  <c r="F9" i="2"/>
  <c r="F8" i="2"/>
  <c r="F7" i="2"/>
  <c r="F17" i="2" s="1"/>
  <c r="C6" i="1" s="1"/>
  <c r="C12" i="1" s="1"/>
  <c r="C14" i="1" l="1"/>
  <c r="E16" i="1" s="1"/>
  <c r="A20" i="1"/>
</calcChain>
</file>

<file path=xl/sharedStrings.xml><?xml version="1.0" encoding="utf-8"?>
<sst xmlns="http://schemas.openxmlformats.org/spreadsheetml/2006/main" count="297" uniqueCount="199">
  <si>
    <t>DATALARIA | EXECUTIVE DECISION PACK - CUADRO DE MANDO ESTRATÉGICO</t>
  </si>
  <si>
    <t>Diagnóstico cuantitativo en tiempo real para Comité de Dirección (C-Level). Modelo vectorial de decisión.</t>
  </si>
  <si>
    <t>1. RESUMEN EJECUTIVO DE PUNTUACIONES CUANTITATIVAS</t>
  </si>
  <si>
    <t>DISTRIBUCIÓN EN MATRIZ CARTESIANA</t>
  </si>
  <si>
    <t>Puntuación Total Fortalezas (SF)</t>
  </si>
  <si>
    <t>REORIENTACIÓN / ADAPTACIÓN (Mini-Maxi)
X &lt; 0 (Debilidades dominan)
Y ≥ 0 (Oportunidades altas)</t>
  </si>
  <si>
    <t>OFENSIVA / CRECIMIENTO (Maxi-Maxi)
X ≥ 0 (Fortalezas dominan)
Y ≥ 0 (Oportunidades altas)</t>
  </si>
  <si>
    <t>Puntuación Total Debilidades (SD)</t>
  </si>
  <si>
    <t>Puntuación Total Oportunidades (SO)</t>
  </si>
  <si>
    <t>Puntuación Total Amenazas (SA)</t>
  </si>
  <si>
    <t>◄── INTERNO: DEBILIDADES (-X)  |  FORTALEZAS (+X) ──►</t>
  </si>
  <si>
    <t>2. VECTOR DE FUERZA Y POSTURA ESTRATÉGICA DOMINANTE</t>
  </si>
  <si>
    <t>SUPERVIVENCIA / CONTENCIÓN (Mini-Mini)
X &lt; 0 (Debilidades dominan)
Y &lt; 0 (Amenazas críticas)</t>
  </si>
  <si>
    <t>DEFENSIVA / PROTECCIÓN (Maxi-Mini)
X ≥ 0 (Fortalezas dominan)
Y &lt; 0 (Amenazas críticas)</t>
  </si>
  <si>
    <t>Posición Interna Neta (X = SF - SD)</t>
  </si>
  <si>
    <t>Presión Externa Neta (Y = SO - SA)</t>
  </si>
  <si>
    <t>Magnitud del Vector Estratégico (||V||)</t>
  </si>
  <si>
    <t>POSTURA ESTRATÉGICA DOMINANTE</t>
  </si>
  <si>
    <t>3. SÍNTESIS ESTRATÉGICA Y RECOMENDACIÓN PARA EL CONSEJO</t>
  </si>
  <si>
    <t>DATALARIA | EVALUACIÓN CUANTITATIVA FODA</t>
  </si>
  <si>
    <t>Asignación de pesos relativos (Σ = 100%) y calificación de impacto (1 a 5). Puntuación ponderada calculada dinámicamente. Filas vacías no computan.</t>
  </si>
  <si>
    <t>1. FORTALEZAS (Capacidades y Activos Internos Clave)</t>
  </si>
  <si>
    <t>Código</t>
  </si>
  <si>
    <t>Factor Estratégico Evaluado (Editable)</t>
  </si>
  <si>
    <t>Métrica Base / Evidencia Cuantitativa</t>
  </si>
  <si>
    <t>Peso Relativo (wi)</t>
  </si>
  <si>
    <t>Impacto (1-5)</t>
  </si>
  <si>
    <t>Puntuación Ponderada</t>
  </si>
  <si>
    <t>F01</t>
  </si>
  <si>
    <t>Margen operativo bruto superior al sector (+18.4%)</t>
  </si>
  <si>
    <t>Auditoría Financiera 2025: EBITDA 24.2% vs 17.5% media</t>
  </si>
  <si>
    <t>F02</t>
  </si>
  <si>
    <t>Propiedad Intelectual y patentes de software predictivo</t>
  </si>
  <si>
    <t>3 patentes europeas registradas con vigencia &gt; 2035</t>
  </si>
  <si>
    <t>F03</t>
  </si>
  <si>
    <t>Retención neta de clientes enterprise (NRR) del 118%</t>
  </si>
  <si>
    <t>Cohorte 2023-2025: rotación de clientes &lt; 2.1% anual</t>
  </si>
  <si>
    <t>F04</t>
  </si>
  <si>
    <t>Infraestructura cloud certificada ISO 27001 y ENS Alto</t>
  </si>
  <si>
    <t>Auditoría de ciberseguridad sin no conformidades</t>
  </si>
  <si>
    <t>F05</t>
  </si>
  <si>
    <t>Equipo de I+D interno con baja rotación de talento (&lt;4%)</t>
  </si>
  <si>
    <t>Índice eNPS de 74 puntos en encuestas semestrales</t>
  </si>
  <si>
    <t>F06</t>
  </si>
  <si>
    <t>F07</t>
  </si>
  <si>
    <t>F08</t>
  </si>
  <si>
    <t>F09</t>
  </si>
  <si>
    <t>F10</t>
  </si>
  <si>
    <t>TOTAL PONDERADO DEL CUADRANTE</t>
  </si>
  <si>
    <t>2. DEBILIDADES (Vulnerabilidades y Cuellos de Botella Internos)</t>
  </si>
  <si>
    <t>D01</t>
  </si>
  <si>
    <t>Concentración de ingresos en 2 clientes clave (42% facturación)</t>
  </si>
  <si>
    <t>Riesgo de concentración de cartera auditado</t>
  </si>
  <si>
    <t>D02</t>
  </si>
  <si>
    <t>Lead time de ciclo de ventas enterprise prolongado (8.5 meses)</t>
  </si>
  <si>
    <t>CRM Salesforce: promedio de oportunidad a cierre</t>
  </si>
  <si>
    <t>D03</t>
  </si>
  <si>
    <t>Dependencia técnica de canal de hardware internacional</t>
  </si>
  <si>
    <t>Tiempos de entrega de sensores IoT &gt; 14 semanas</t>
  </si>
  <si>
    <t>D04</t>
  </si>
  <si>
    <t>Equipo comercial directo infradimensionado en mercados DACH</t>
  </si>
  <si>
    <t>Solo 2 ejecutivos para Alemania, Austria y Suiza</t>
  </si>
  <si>
    <t>D05</t>
  </si>
  <si>
    <t>Deuda técnica en módulo legacy de facturación multi-divisa</t>
  </si>
  <si>
    <t>Horas de mantenimiento correctivo &gt; 18% del sprint</t>
  </si>
  <si>
    <t>D06</t>
  </si>
  <si>
    <t>D07</t>
  </si>
  <si>
    <t>D08</t>
  </si>
  <si>
    <t>D09</t>
  </si>
  <si>
    <t>D10</t>
  </si>
  <si>
    <t>3. OPORTUNIDADES (Tendencias y Vientos de Cola Externos)</t>
  </si>
  <si>
    <t>O01</t>
  </si>
  <si>
    <t>Fondos de digitalización industrial y ayudas NextGen EU</t>
  </si>
  <si>
    <t>Subvenciones a fondo perdido para automatización</t>
  </si>
  <si>
    <t>O02</t>
  </si>
  <si>
    <t>Demanda acelerada de IA explicable y observabilidad por compliance</t>
  </si>
  <si>
    <t>Regulación europea EU AI Act en vigor obligatorio</t>
  </si>
  <si>
    <t>O03</t>
  </si>
  <si>
    <t>Consolidación de distribuidores B2B en LatAm (México/Colombia)</t>
  </si>
  <si>
    <t>Negociación avanzada de acuerdos de distribución</t>
  </si>
  <si>
    <t>O04</t>
  </si>
  <si>
    <t>Obsolescencia de soluciones tradicionales de competidores Tier-2</t>
  </si>
  <si>
    <t>Clientes buscando sustitución activa de plataformas</t>
  </si>
  <si>
    <t>O05</t>
  </si>
  <si>
    <t>Alianzas con integradores globales de sistemas (Accenture, Indra)</t>
  </si>
  <si>
    <t>Interés en incorporar motor predictivo en catálogo</t>
  </si>
  <si>
    <t>O06</t>
  </si>
  <si>
    <t>O07</t>
  </si>
  <si>
    <t>O08</t>
  </si>
  <si>
    <t>O09</t>
  </si>
  <si>
    <t>O10</t>
  </si>
  <si>
    <t>4. AMENAZAS (Riesgos de Mercado y Presiones Competitivas)</t>
  </si>
  <si>
    <t>A01</t>
  </si>
  <si>
    <t>Presión de precios por nuevos entrantes low-cost asiáticos</t>
  </si>
  <si>
    <t>Ofertas en licitaciones con descuentos del 35-40%</t>
  </si>
  <si>
    <t>A02</t>
  </si>
  <si>
    <t>Escasez y encarecimiento salarial de ingenieros de IA senior</t>
  </si>
  <si>
    <t>Coste medio de contratación creció un 22% interanual</t>
  </si>
  <si>
    <t>A03</t>
  </si>
  <si>
    <t>Incertidumbre arancelaria y fricciones en comercio exterior</t>
  </si>
  <si>
    <t>Posibles aranceles a tecnología y microelectrónica</t>
  </si>
  <si>
    <t>A04</t>
  </si>
  <si>
    <t>Fusiones de competidores directos financiados por Private Equity</t>
  </si>
  <si>
    <t>Competidor directo adquirió 2 startups especializadas</t>
  </si>
  <si>
    <t>A05</t>
  </si>
  <si>
    <t>Endurecimiento de directivas de ciberseguridad NIS2 para proveedores</t>
  </si>
  <si>
    <t>Exigencias de auditoría estricta de terceros</t>
  </si>
  <si>
    <t>A06</t>
  </si>
  <si>
    <t>A07</t>
  </si>
  <si>
    <t>A08</t>
  </si>
  <si>
    <t>A09</t>
  </si>
  <si>
    <t>A10</t>
  </si>
  <si>
    <t>DATALARIA | MATRIZ DE CRUCE CUANTITATIVO (CAME / TOWS)</t>
  </si>
  <si>
    <t>Evaluación de impacto cruzado (0 = Nulo, 1 = Débil, 2 = Moderado, 3 = Crítico / Sinérgico). Identifica factores catalizadores y vulnerabilidades críticas.</t>
  </si>
  <si>
    <t>OPORTUNIDADES (O01 - O10)</t>
  </si>
  <si>
    <t>AMENAZAS (A01 - A10)</t>
  </si>
  <si>
    <t>ID</t>
  </si>
  <si>
    <t>FACTORES INTERNOS (FILAS)</t>
  </si>
  <si>
    <t>Total Fila</t>
  </si>
  <si>
    <t>FORTALEZAS (F01 - F10)</t>
  </si>
  <si>
    <t>DEBILIDADES (D01 - D10)</t>
  </si>
  <si>
    <t>Total Columna</t>
  </si>
  <si>
    <t>Sinergia Ofensiva Total (F x O)</t>
  </si>
  <si>
    <t>Impacto Defensivo Total (F x A)</t>
  </si>
  <si>
    <t>Cuellos de Botella (D x O)</t>
  </si>
  <si>
    <t>Vulnerabilidad Crítica (D x A)</t>
  </si>
  <si>
    <t>DATALARIA | PLAN ESTRATÉGICO DE ACCIÓN CAME (C-LEVEL ROADMAP)</t>
  </si>
  <si>
    <t>Traducción operativa de la matriz de decisión en iniciativas de inversión con responsable C-Level, plazos y dotación financiera P&amp;L.</t>
  </si>
  <si>
    <t>1. CORREGIR DEBILIDADES (Iniciativas de Reorientación / WO)</t>
  </si>
  <si>
    <t>ID Acción</t>
  </si>
  <si>
    <t>Factor Clave</t>
  </si>
  <si>
    <t>Iniciativa Estratégica Concreta</t>
  </si>
  <si>
    <t>Owner (C-Level)</t>
  </si>
  <si>
    <t>Plazo</t>
  </si>
  <si>
    <t>CAPEX (€)</t>
  </si>
  <si>
    <t>OPEX (€)</t>
  </si>
  <si>
    <t>KPI de Impacto en P&amp;L</t>
  </si>
  <si>
    <t>Estado</t>
  </si>
  <si>
    <t>CAME-C01</t>
  </si>
  <si>
    <t>D01 + O03</t>
  </si>
  <si>
    <t>Plan de Diversificación Comercial: Programa de canal en LatAm para reducir concentración a &lt; 25%</t>
  </si>
  <si>
    <t>Chief Commercial Officer</t>
  </si>
  <si>
    <t>Q2-Q4</t>
  </si>
  <si>
    <t>Concentración top-2 &lt; 25% ARR</t>
  </si>
  <si>
    <t>Aprobado</t>
  </si>
  <si>
    <t>CAME-C02</t>
  </si>
  <si>
    <t>D02 + O05</t>
  </si>
  <si>
    <t>Automatización de ciclo comercial con integradores globales para acortar lead time a 5 meses</t>
  </si>
  <si>
    <t>VP Sales Enterprise</t>
  </si>
  <si>
    <t>Q1-Q3</t>
  </si>
  <si>
    <t>Lead time ventas ≤ 5.2 meses</t>
  </si>
  <si>
    <t>CAME-C03</t>
  </si>
  <si>
    <t>D05 + O02</t>
  </si>
  <si>
    <t>Refactorización del motor de facturación multi-divisa hacia microservicios cloud</t>
  </si>
  <si>
    <t>Chief Technology Officer</t>
  </si>
  <si>
    <t>Q2-Q3</t>
  </si>
  <si>
    <t>Deuda técnica sprint &lt; 6%</t>
  </si>
  <si>
    <t>En Revisión</t>
  </si>
  <si>
    <t>TOTAL INVERSIÓN SECCIÓN (C)</t>
  </si>
  <si>
    <t>2. AFRONTAR AMENAZAS (Iniciativas Defensivas y Salvaguardas / ST)</t>
  </si>
  <si>
    <t>CAME-A01</t>
  </si>
  <si>
    <t>F01 + A01</t>
  </si>
  <si>
    <t>Blindaje contractual plurianual con clientes clave con cláusula de fidelización</t>
  </si>
  <si>
    <t>Chief Executive Officer</t>
  </si>
  <si>
    <t>Q1-Q2</t>
  </si>
  <si>
    <t>Churn de clientes &lt; 1.5%</t>
  </si>
  <si>
    <t>CAME-A02</t>
  </si>
  <si>
    <t>F04 + A05</t>
  </si>
  <si>
    <t>Certificación anticipada en directiva NIS2 y auditoría de resiliencia operativa DORA</t>
  </si>
  <si>
    <t>Chief Information Security Officer</t>
  </si>
  <si>
    <t>100% cumplimiento normativo</t>
  </si>
  <si>
    <t>TOTAL INVERSIÓN SECCIÓN (A)</t>
  </si>
  <si>
    <t>3. MANTENER FORTALEZAS (Iniciativas de Preservación de Moat / Moat Defense)</t>
  </si>
  <si>
    <t>CAME-M01</t>
  </si>
  <si>
    <t>F02 + O02</t>
  </si>
  <si>
    <t>Extensión de patentes de algoritmos a jurisdicciones asiáticas y protección de IP</t>
  </si>
  <si>
    <t>Head of Legal &amp; IP</t>
  </si>
  <si>
    <t>Q3-Q4</t>
  </si>
  <si>
    <t>2 nuevas patentes concedidas</t>
  </si>
  <si>
    <t>Propuesto</t>
  </si>
  <si>
    <t>CAME-M02</t>
  </si>
  <si>
    <t>F05 + A02</t>
  </si>
  <si>
    <t>Plan de retención de talento clave de I+D (Phantom Shares y plan de carrera técnica)</t>
  </si>
  <si>
    <t>Chief People Officer</t>
  </si>
  <si>
    <t>Q1-Q4</t>
  </si>
  <si>
    <t>Rotación voluntaria &lt; 3%</t>
  </si>
  <si>
    <t>TOTAL INVERSIÓN SECCIÓN (M)</t>
  </si>
  <si>
    <t>4. EXPLOTAR OPORTUNIDADES (Iniciativas Ofensivas de Crecimiento / SO)</t>
  </si>
  <si>
    <t>CAME-E01</t>
  </si>
  <si>
    <t>F01 + O01</t>
  </si>
  <si>
    <t>Aceleración del despliegue del módulo SaaS subvencionado por NextGen en 40 factorías</t>
  </si>
  <si>
    <t>Chief Operating Officer</t>
  </si>
  <si>
    <t>+1.2M € ARR adicional</t>
  </si>
  <si>
    <t>CAME-E02</t>
  </si>
  <si>
    <t>F03 + O05</t>
  </si>
  <si>
    <t>Acuerdo de co-selling con consultora global (Tier-1) para inclusión en licitaciones</t>
  </si>
  <si>
    <t>+8 nuevos clientes Tier-1</t>
  </si>
  <si>
    <t>TOTAL INVERSIÓN SECCIÓN (E)</t>
  </si>
  <si>
    <t>PRESUPUESTO TOTAL PLAN CAME (CAPEX + OPEX)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</si>
</sst>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+0.00;\-0.00;0.00"/>
    <numFmt numFmtId="166" formatCode="#,##0\ \€"/>
  </numFmts>
  <fonts count="31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11"/>
      <color rgb="FF065F46"/>
      <name val="Segoe UI"/>
    </font>
    <font>
      <b/>
      <sz val="10"/>
      <color rgb="FFFFFFFF"/>
      <name val="Segoe UI"/>
    </font>
    <font>
      <b/>
      <sz val="10"/>
      <color rgb="FF2563EB"/>
      <name val="Consolas"/>
    </font>
    <font>
      <sz val="10"/>
      <color rgb="FF1E293B"/>
      <name val="Segoe UI"/>
    </font>
    <font>
      <b/>
      <sz val="10"/>
      <color rgb="FF0F172A"/>
      <name val="Segoe UI"/>
    </font>
    <font>
      <b/>
      <sz val="10"/>
      <color rgb="FF065F46"/>
      <name val="Segoe UI"/>
    </font>
    <font>
      <b/>
      <sz val="11"/>
      <color rgb="FF92400E"/>
      <name val="Segoe UI"/>
    </font>
    <font>
      <b/>
      <sz val="10"/>
      <color rgb="FF92400E"/>
      <name val="Segoe UI"/>
    </font>
    <font>
      <b/>
      <sz val="11"/>
      <color rgb="FF1E40AF"/>
      <name val="Segoe UI"/>
    </font>
    <font>
      <b/>
      <sz val="10"/>
      <color rgb="FF1E40AF"/>
      <name val="Segoe UI"/>
    </font>
    <font>
      <b/>
      <sz val="11"/>
      <color rgb="FF991B1B"/>
      <name val="Segoe UI"/>
    </font>
    <font>
      <b/>
      <sz val="10"/>
      <color rgb="FF991B1B"/>
      <name val="Segoe UI"/>
    </font>
    <font>
      <b/>
      <sz val="11"/>
      <color rgb="FF0F172A"/>
      <name val="Segoe UI"/>
    </font>
    <font>
      <b/>
      <sz val="11"/>
      <color rgb="FF2563EB"/>
      <name val="Segoe UI"/>
    </font>
    <font>
      <sz val="10"/>
      <color rgb="FF0F172A"/>
      <name val="Segoe UI"/>
    </font>
    <font>
      <b/>
      <sz val="9"/>
      <color rgb="FF92400E"/>
      <name val="Segoe UI"/>
    </font>
    <font>
      <b/>
      <sz val="9"/>
      <color rgb="FF065F46"/>
      <name val="Segoe UI"/>
    </font>
    <font>
      <b/>
      <sz val="9"/>
      <color rgb="FF991B1B"/>
      <name val="Segoe UI"/>
    </font>
    <font>
      <b/>
      <sz val="9"/>
      <color rgb="FF1E40AF"/>
      <name val="Segoe UI"/>
    </font>
    <font>
      <b/>
      <sz val="8"/>
      <color rgb="FF64748B"/>
      <name val="Segoe UI"/>
    </font>
    <font>
      <b/>
      <sz val="9"/>
      <color rgb="FF1E40AF"/>
      <name val="Consolas"/>
    </font>
    <font>
      <b/>
      <sz val="9"/>
      <color rgb="FF991B1B"/>
      <name val="Consolas"/>
    </font>
    <font>
      <b/>
      <sz val="16"/>
      <color rgb="FF065F46"/>
      <name val="Segoe UI"/>
    </font>
    <font>
      <b/>
      <sz val="16"/>
      <color rgb="FF1E40AF"/>
      <name val="Segoe UI"/>
    </font>
    <font>
      <b/>
      <sz val="16"/>
      <color rgb="FF92400E"/>
      <name val="Segoe UI"/>
    </font>
    <font>
      <b/>
      <sz val="16"/>
      <color rgb="FF991B1B"/>
      <name val="Segoe UI"/>
    </font>
    <font>
      <b/>
      <sz val="11"/>
      <color rgb="FFFFFFFF"/>
      <name val="Segoe UI"/>
    </font>
    <font>
      <b/>
      <sz val="12"/>
      <color rgb="FFFEF08A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CFDF5"/>
        <bgColor rgb="FFECFDF5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FFBEB"/>
        <bgColor rgb="FFFFFBEB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EF08A"/>
        <bgColor rgb="FFFEF08A"/>
      </patternFill>
    </fill>
  </fills>
  <borders count="5"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94A3B8"/>
      </top>
      <bottom style="double">
        <color rgb="FF0F172A"/>
      </bottom>
      <diagonal/>
    </border>
    <border>
      <left style="medium">
        <color rgb="FF0F172A"/>
      </left>
      <right style="medium">
        <color rgb="FF0F172A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2" xfId="0" applyBorder="1"/>
    <xf numFmtId="0" fontId="6" fillId="5" borderId="2" xfId="0" applyFont="1" applyFill="1" applyBorder="1"/>
    <xf numFmtId="0" fontId="7" fillId="5" borderId="2" xfId="0" applyFont="1" applyFill="1" applyBorder="1"/>
    <xf numFmtId="0" fontId="4" fillId="4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 applyProtection="1">
      <alignment horizontal="left" vertical="center"/>
      <protection locked="0"/>
    </xf>
    <xf numFmtId="164" fontId="6" fillId="6" borderId="2" xfId="0" applyNumberFormat="1" applyFont="1" applyFill="1" applyBorder="1" applyAlignment="1" applyProtection="1">
      <alignment horizontal="right" vertical="center"/>
      <protection locked="0"/>
    </xf>
    <xf numFmtId="1" fontId="6" fillId="6" borderId="2" xfId="0" applyNumberFormat="1" applyFont="1" applyFill="1" applyBorder="1" applyAlignment="1" applyProtection="1">
      <alignment horizontal="center" vertical="center"/>
      <protection locked="0"/>
    </xf>
    <xf numFmtId="2" fontId="7" fillId="5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7" fillId="7" borderId="3" xfId="0" applyFont="1" applyFill="1" applyBorder="1" applyAlignment="1">
      <alignment horizontal="right" vertical="center"/>
    </xf>
    <xf numFmtId="164" fontId="8" fillId="7" borderId="3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2" fontId="9" fillId="7" borderId="3" xfId="0" applyNumberFormat="1" applyFont="1" applyFill="1" applyBorder="1" applyAlignment="1">
      <alignment horizontal="right" vertical="center"/>
    </xf>
    <xf numFmtId="164" fontId="12" fillId="7" borderId="3" xfId="0" applyNumberFormat="1" applyFont="1" applyFill="1" applyBorder="1" applyAlignment="1">
      <alignment horizontal="right" vertical="center"/>
    </xf>
    <xf numFmtId="2" fontId="11" fillId="7" borderId="3" xfId="0" applyNumberFormat="1" applyFont="1" applyFill="1" applyBorder="1" applyAlignment="1">
      <alignment horizontal="right" vertical="center"/>
    </xf>
    <xf numFmtId="164" fontId="14" fillId="7" borderId="3" xfId="0" applyNumberFormat="1" applyFont="1" applyFill="1" applyBorder="1" applyAlignment="1">
      <alignment horizontal="right" vertical="center"/>
    </xf>
    <xf numFmtId="2" fontId="13" fillId="7" borderId="3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23" fillId="9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16" fillId="7" borderId="3" xfId="0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 applyProtection="1">
      <alignment horizontal="right" vertical="center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166" fontId="7" fillId="7" borderId="3" xfId="0" applyNumberFormat="1" applyFont="1" applyFill="1" applyBorder="1" applyAlignment="1">
      <alignment horizontal="right" vertical="center"/>
    </xf>
    <xf numFmtId="166" fontId="29" fillId="2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5" fillId="7" borderId="0" xfId="0" applyFont="1" applyFill="1"/>
    <xf numFmtId="0" fontId="1" fillId="2" borderId="0" xfId="0" applyFont="1" applyFill="1" applyAlignment="1">
      <alignment horizontal="left" vertical="center"/>
    </xf>
    <xf numFmtId="0" fontId="17" fillId="5" borderId="2" xfId="0" applyFont="1" applyFill="1" applyBorder="1" applyAlignment="1">
      <alignment horizontal="left" vertical="top" wrapText="1"/>
    </xf>
    <xf numFmtId="0" fontId="15" fillId="11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4" fillId="4" borderId="0" xfId="0" applyFont="1" applyFill="1"/>
    <xf numFmtId="0" fontId="12" fillId="9" borderId="0" xfId="0" applyFont="1" applyFill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10" fillId="8" borderId="0" xfId="0" applyFont="1" applyFill="1"/>
    <xf numFmtId="0" fontId="14" fillId="10" borderId="0" xfId="0" applyFont="1" applyFill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8" fillId="3" borderId="0" xfId="0" applyFont="1" applyFill="1"/>
    <xf numFmtId="0" fontId="25" fillId="3" borderId="2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right" vertical="center"/>
    </xf>
    <xf numFmtId="0" fontId="7" fillId="7" borderId="3" xfId="0" applyFont="1" applyFill="1" applyBorder="1" applyAlignment="1">
      <alignment horizontal="right" vertical="center"/>
    </xf>
    <xf numFmtId="0" fontId="9" fillId="8" borderId="0" xfId="0" applyFont="1" applyFill="1"/>
    <xf numFmtId="0" fontId="3" fillId="3" borderId="0" xfId="0" applyFont="1" applyFill="1"/>
    <xf numFmtId="0" fontId="13" fillId="10" borderId="0" xfId="0" applyFont="1" applyFill="1"/>
    <xf numFmtId="0" fontId="11" fillId="9" borderId="0" xfId="0" applyFont="1" applyFill="1"/>
    <xf numFmtId="166" fontId="30" fillId="2" borderId="3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2" fontId="9" fillId="8" borderId="2" xfId="0" applyNumberFormat="1" applyFont="1" applyFill="1" applyBorder="1" applyAlignment="1">
      <alignment horizontal="center" vertical="center"/>
    </xf>
    <xf numFmtId="2" fontId="11" fillId="9" borderId="2" xfId="0" applyNumberFormat="1" applyFont="1" applyFill="1" applyBorder="1" applyAlignment="1">
      <alignment horizontal="center" vertical="center"/>
    </xf>
    <xf numFmtId="2" fontId="13" fillId="10" borderId="2" xfId="0" applyNumberFormat="1" applyFont="1" applyFill="1" applyBorder="1" applyAlignment="1">
      <alignment horizontal="center" vertical="center"/>
    </xf>
    <xf numFmtId="165" fontId="16" fillId="7" borderId="2" xfId="0" applyNumberFormat="1" applyFont="1" applyFill="1" applyBorder="1" applyAlignment="1">
      <alignment horizontal="center" vertical="center"/>
    </xf>
    <xf numFmtId="2" fontId="16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S"/>
              <a:t>Matriz Cartesiana de Posicionamiento Estratégico (X, Y)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circle"/>
            <c:size val="14"/>
            <c:spPr>
              <a:solidFill>
                <a:srgbClr val="2563EB"/>
              </a:solidFill>
              <a:ln>
                <a:solidFill>
                  <a:srgbClr val="0F172A"/>
                </a:solidFill>
                <a:prstDash val="solid"/>
              </a:ln>
            </c:spPr>
          </c:marker>
          <c:xVal>
            <c:numRef>
              <c:f>'Dashboard Ejecutivo'!$C$12</c:f>
              <c:numCache>
                <c:formatCode>\+0.00;\-0.00;0.00</c:formatCode>
                <c:ptCount val="1"/>
                <c:pt idx="0">
                  <c:v>1</c:v>
                </c:pt>
              </c:numCache>
            </c:numRef>
          </c:xVal>
          <c:yVal>
            <c:numRef>
              <c:f>'Dashboard Ejecutivo'!$C$13</c:f>
              <c:numCache>
                <c:formatCode>\+0.00;\-0.00;0.00</c:formatCode>
                <c:ptCount val="1"/>
                <c:pt idx="0">
                  <c:v>1.0999999999999996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16-4B17-8F6F-30876225B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"/>
          <c:min val="-5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Posición Interna Neta (X = F - D)</a:t>
                </a:r>
              </a:p>
            </c:rich>
          </c:tx>
          <c:layout/>
          <c:overlay val="1"/>
        </c:title>
        <c:numFmt formatCode="\+0.00;\-0.00;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"/>
          <c:min val="-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Presión Externa Neta (Y = O - A)</a:t>
                </a:r>
              </a:p>
            </c:rich>
          </c:tx>
          <c:layout/>
          <c:overlay val="1"/>
        </c:title>
        <c:numFmt formatCode="\+0.00;\-0.00;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76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workbookViewId="0">
      <selection activeCell="I14" sqref="I14"/>
    </sheetView>
  </sheetViews>
  <sheetFormatPr baseColWidth="10" defaultColWidth="9.140625" defaultRowHeight="15" x14ac:dyDescent="0.25"/>
  <cols>
    <col min="1" max="1" width="4" customWidth="1"/>
    <col min="2" max="2" width="36" customWidth="1"/>
    <col min="3" max="3" width="16" customWidth="1"/>
    <col min="4" max="4" width="4" customWidth="1"/>
    <col min="5" max="5" width="24.140625" customWidth="1"/>
    <col min="6" max="6" width="27.42578125" customWidth="1"/>
    <col min="7" max="7" width="21.85546875" customWidth="1"/>
    <col min="8" max="8" width="27.7109375" customWidth="1"/>
  </cols>
  <sheetData>
    <row r="2" spans="1:8" ht="36" customHeight="1" x14ac:dyDescent="0.25">
      <c r="A2" s="37" t="s">
        <v>0</v>
      </c>
      <c r="B2" s="35"/>
      <c r="C2" s="35"/>
      <c r="D2" s="35"/>
      <c r="E2" s="35"/>
      <c r="F2" s="35"/>
      <c r="G2" s="35"/>
      <c r="H2" s="35"/>
    </row>
    <row r="3" spans="1:8" ht="20.100000000000001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</row>
    <row r="5" spans="1:8" ht="24" customHeight="1" x14ac:dyDescent="0.3">
      <c r="A5" s="36" t="s">
        <v>2</v>
      </c>
      <c r="B5" s="35"/>
      <c r="C5" s="35"/>
      <c r="E5" s="42" t="s">
        <v>3</v>
      </c>
      <c r="F5" s="35"/>
      <c r="G5" s="35"/>
      <c r="H5" s="35"/>
    </row>
    <row r="6" spans="1:8" ht="21.95" customHeight="1" x14ac:dyDescent="0.25">
      <c r="A6" s="1"/>
      <c r="B6" s="2" t="s">
        <v>4</v>
      </c>
      <c r="C6" s="68">
        <f>'Evaluación FODA'!F17</f>
        <v>4.5</v>
      </c>
      <c r="E6" s="64" t="s">
        <v>5</v>
      </c>
      <c r="F6" s="35"/>
      <c r="G6" s="65" t="s">
        <v>6</v>
      </c>
      <c r="H6" s="35"/>
    </row>
    <row r="7" spans="1:8" ht="21.95" customHeight="1" x14ac:dyDescent="0.25">
      <c r="A7" s="1"/>
      <c r="B7" s="2" t="s">
        <v>7</v>
      </c>
      <c r="C7" s="69">
        <f>'Evaluación FODA'!F32</f>
        <v>3.5</v>
      </c>
      <c r="E7" s="35"/>
      <c r="F7" s="35"/>
      <c r="G7" s="35"/>
      <c r="H7" s="35"/>
    </row>
    <row r="8" spans="1:8" ht="21.95" customHeight="1" x14ac:dyDescent="0.25">
      <c r="A8" s="1"/>
      <c r="B8" s="2" t="s">
        <v>8</v>
      </c>
      <c r="C8" s="70">
        <f>'Evaluación FODA'!F47</f>
        <v>4.55</v>
      </c>
      <c r="E8" s="35"/>
      <c r="F8" s="35"/>
      <c r="G8" s="35"/>
      <c r="H8" s="35"/>
    </row>
    <row r="9" spans="1:8" ht="21.95" customHeight="1" x14ac:dyDescent="0.25">
      <c r="A9" s="1"/>
      <c r="B9" s="2" t="s">
        <v>9</v>
      </c>
      <c r="C9" s="71">
        <f>'Evaluación FODA'!F62</f>
        <v>3.45</v>
      </c>
      <c r="E9" s="35"/>
      <c r="F9" s="35"/>
      <c r="G9" s="35"/>
      <c r="H9" s="35"/>
    </row>
    <row r="10" spans="1:8" x14ac:dyDescent="0.25">
      <c r="E10" s="41" t="s">
        <v>10</v>
      </c>
      <c r="F10" s="35"/>
      <c r="G10" s="35"/>
      <c r="H10" s="35"/>
    </row>
    <row r="11" spans="1:8" ht="24" customHeight="1" x14ac:dyDescent="0.3">
      <c r="A11" s="36" t="s">
        <v>11</v>
      </c>
      <c r="B11" s="35"/>
      <c r="C11" s="35"/>
      <c r="E11" s="67" t="s">
        <v>12</v>
      </c>
      <c r="F11" s="35"/>
      <c r="G11" s="66" t="s">
        <v>13</v>
      </c>
      <c r="H11" s="35"/>
    </row>
    <row r="12" spans="1:8" ht="21.95" customHeight="1" x14ac:dyDescent="0.25">
      <c r="A12" s="1"/>
      <c r="B12" s="3" t="s">
        <v>14</v>
      </c>
      <c r="C12" s="72">
        <f>C6-C7</f>
        <v>1</v>
      </c>
      <c r="E12" s="35"/>
      <c r="F12" s="35"/>
      <c r="G12" s="35"/>
      <c r="H12" s="35"/>
    </row>
    <row r="13" spans="1:8" ht="21.95" customHeight="1" x14ac:dyDescent="0.25">
      <c r="A13" s="1"/>
      <c r="B13" s="3" t="s">
        <v>15</v>
      </c>
      <c r="C13" s="72">
        <f>C8-C9</f>
        <v>1.0999999999999996</v>
      </c>
      <c r="E13" s="35"/>
      <c r="F13" s="35"/>
      <c r="G13" s="35"/>
      <c r="H13" s="35"/>
    </row>
    <row r="14" spans="1:8" ht="21.95" customHeight="1" x14ac:dyDescent="0.25">
      <c r="A14" s="1"/>
      <c r="B14" s="3" t="s">
        <v>16</v>
      </c>
      <c r="C14" s="73">
        <f>SQRT(C12^2+C13^2)</f>
        <v>1.4866068747318502</v>
      </c>
      <c r="E14" s="35"/>
      <c r="F14" s="35"/>
      <c r="G14" s="35"/>
      <c r="H14" s="35"/>
    </row>
    <row r="16" spans="1:8" ht="24" customHeight="1" x14ac:dyDescent="0.25">
      <c r="A16" s="43" t="s">
        <v>17</v>
      </c>
      <c r="B16" s="35"/>
      <c r="C16" s="35"/>
      <c r="E16" s="40" t="str">
        <f>"VECTOR ACTUAL: Coordenadas (" &amp; TEXT(C12,"+0.00;-0.00;0.00") &amp; " , " &amp; TEXT(C13,"+0.00;-0.00;0.00") &amp; ")  •  Impulso: " &amp; TEXT(C14,"0.00")</f>
        <v>VECTOR ACTUAL: Coordenadas (+1.00 , +1.10)  •  Impulso: 1.49</v>
      </c>
      <c r="F16" s="35"/>
      <c r="G16" s="35"/>
      <c r="H16" s="35"/>
    </row>
    <row r="17" spans="1:8" ht="58.5" customHeight="1" x14ac:dyDescent="0.25">
      <c r="A17" s="39" t="str">
        <f>IF(AND(C12&gt;=0, C13&gt;=0), "OFENSIVA / CRECIMIENTO (Maxi-Maxi)", IF(AND(C12&gt;=0, C13&lt;0), "DEFENSIVA / PROTECCIÓN (Maxi-Mini)", IF(AND(C12&lt;0, C13&gt;=0), "REORIENTACIÓN / ADAPTACIÓN (Mini-Maxi)", "SUPERVIVENCIA / CONTENCIÓN (Mini-Mini)")))</f>
        <v>OFENSIVA / CRECIMIENTO (Maxi-Maxi)</v>
      </c>
      <c r="B17" s="35"/>
      <c r="C17" s="35"/>
      <c r="E17" s="35"/>
      <c r="F17" s="35"/>
      <c r="G17" s="35"/>
      <c r="H17" s="35"/>
    </row>
    <row r="19" spans="1:8" ht="24" customHeight="1" x14ac:dyDescent="0.3">
      <c r="A19" s="36" t="s">
        <v>18</v>
      </c>
      <c r="B19" s="35"/>
      <c r="C19" s="35"/>
      <c r="D19" s="35"/>
      <c r="E19" s="35"/>
      <c r="F19" s="35"/>
      <c r="G19" s="35"/>
      <c r="H19" s="35"/>
    </row>
    <row r="20" spans="1:8" ht="27.95" customHeight="1" x14ac:dyDescent="0.25">
      <c r="A20" s="38" t="str">
        <f>IF(AND(C12&gt;=0, C13&gt;=0), "Postura Ofensiva Validada: La organización cuenta con solidez interna superior a sus vulnerabilidades y un entorno externo favorable. Máxima asignación de CAPEX a captura de cuota, innovación agresiva y expansión internacional.", IF(AND(C12&gt;=0, C13&lt;0), "Postura Defensiva: Las capacidades internas son robustas pero el entorno macro y competitivo presenta amenazas críticas. Priorizar blindaje de contratos clave, aseguramiento de márgenes y diversificación de proveedores.", IF(AND(C12&lt;0, C13&gt;=0), "Postura de Reorientación: Existen catalizadores externos extraordinarios que la organización no puede capturar plenamente debido a cuellos de botella internos. Priorizar transformación operativa y reducción de deuda técnica.", "Postura de Supervivencia: Amenazas externas severas combinadas con debilidades críticas internas. Ejecutar plan de contención de costes, desinversión selectiva de activos no core y renegociación de pasivos.")))</f>
        <v>Postura Ofensiva Validada: La organización cuenta con solidez interna superior a sus vulnerabilidades y un entorno externo favorable. Máxima asignación de CAPEX a captura de cuota, innovación agresiva y expansión internacional.</v>
      </c>
      <c r="B20" s="35"/>
      <c r="C20" s="35"/>
      <c r="D20" s="35"/>
      <c r="E20" s="35"/>
      <c r="F20" s="35"/>
      <c r="G20" s="35"/>
      <c r="H20" s="35"/>
    </row>
    <row r="21" spans="1:8" ht="27.95" customHeight="1" x14ac:dyDescent="0.25">
      <c r="A21" s="35"/>
      <c r="B21" s="35"/>
      <c r="C21" s="35"/>
      <c r="D21" s="35"/>
      <c r="E21" s="35"/>
      <c r="F21" s="35"/>
      <c r="G21" s="35"/>
      <c r="H21" s="35"/>
    </row>
  </sheetData>
  <sheetProtection algorithmName="SHA-512" hashValue="djkklcvOSarZiJ0+b89coxGc5sIqOqNEhkR/oNP1/0LfR4ORnmDzdDCT0HpBj6oh430tyX0OxUXq4TmODMxx4g==" saltValue="K5l0gLRatic2ZYXY8AH10A==" spinCount="100000" sheet="1" selectLockedCells="1" selectUnlockedCells="1"/>
  <mergeCells count="15">
    <mergeCell ref="A20:H21"/>
    <mergeCell ref="E6:F9"/>
    <mergeCell ref="G6:H9"/>
    <mergeCell ref="A17:C17"/>
    <mergeCell ref="A19:H19"/>
    <mergeCell ref="E16:H17"/>
    <mergeCell ref="G11:H14"/>
    <mergeCell ref="E10:H10"/>
    <mergeCell ref="A16:C16"/>
    <mergeCell ref="A3:H3"/>
    <mergeCell ref="A11:C11"/>
    <mergeCell ref="A5:C5"/>
    <mergeCell ref="E11:F14"/>
    <mergeCell ref="A2:H2"/>
    <mergeCell ref="E5:H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2"/>
  <sheetViews>
    <sheetView topLeftCell="A19" workbookViewId="0"/>
  </sheetViews>
  <sheetFormatPr baseColWidth="10" defaultColWidth="9.140625" defaultRowHeight="15" x14ac:dyDescent="0.25"/>
  <cols>
    <col min="1" max="1" width="13" customWidth="1"/>
    <col min="2" max="2" width="44" customWidth="1"/>
    <col min="3" max="3" width="38" customWidth="1"/>
    <col min="4" max="4" width="16" customWidth="1"/>
    <col min="5" max="5" width="14" customWidth="1"/>
    <col min="6" max="6" width="18" customWidth="1"/>
  </cols>
  <sheetData>
    <row r="2" spans="1:6" ht="36" customHeight="1" x14ac:dyDescent="0.25">
      <c r="A2" s="37" t="s">
        <v>19</v>
      </c>
      <c r="B2" s="35"/>
      <c r="C2" s="35"/>
      <c r="D2" s="35"/>
      <c r="E2" s="35"/>
      <c r="F2" s="35"/>
    </row>
    <row r="3" spans="1:6" ht="20.100000000000001" customHeight="1" x14ac:dyDescent="0.25">
      <c r="A3" s="34" t="s">
        <v>20</v>
      </c>
      <c r="B3" s="35"/>
      <c r="C3" s="35"/>
      <c r="D3" s="35"/>
      <c r="E3" s="35"/>
      <c r="F3" s="35"/>
    </row>
    <row r="5" spans="1:6" ht="26.1" customHeight="1" x14ac:dyDescent="0.25">
      <c r="A5" s="44" t="s">
        <v>21</v>
      </c>
      <c r="B5" s="35"/>
      <c r="C5" s="35"/>
      <c r="D5" s="35"/>
      <c r="E5" s="35"/>
      <c r="F5" s="35"/>
    </row>
    <row r="6" spans="1:6" ht="21.95" customHeight="1" x14ac:dyDescent="0.25">
      <c r="A6" s="6" t="s">
        <v>22</v>
      </c>
      <c r="B6" s="7" t="s">
        <v>23</v>
      </c>
      <c r="C6" s="7" t="s">
        <v>24</v>
      </c>
      <c r="D6" s="8" t="s">
        <v>25</v>
      </c>
      <c r="E6" s="6" t="s">
        <v>26</v>
      </c>
      <c r="F6" s="8" t="s">
        <v>27</v>
      </c>
    </row>
    <row r="7" spans="1:6" ht="20.100000000000001" customHeight="1" x14ac:dyDescent="0.25">
      <c r="A7" s="9" t="s">
        <v>28</v>
      </c>
      <c r="B7" s="10" t="s">
        <v>29</v>
      </c>
      <c r="C7" s="10" t="s">
        <v>30</v>
      </c>
      <c r="D7" s="11">
        <v>0.3</v>
      </c>
      <c r="E7" s="12">
        <v>5</v>
      </c>
      <c r="F7" s="13">
        <f t="shared" ref="F7:F16" si="0">IF(OR(B7="", D7=""), 0, D7*E7)</f>
        <v>1.5</v>
      </c>
    </row>
    <row r="8" spans="1:6" ht="20.100000000000001" customHeight="1" x14ac:dyDescent="0.25">
      <c r="A8" s="9" t="s">
        <v>31</v>
      </c>
      <c r="B8" s="10" t="s">
        <v>32</v>
      </c>
      <c r="C8" s="10" t="s">
        <v>33</v>
      </c>
      <c r="D8" s="11">
        <v>0.25</v>
      </c>
      <c r="E8" s="12">
        <v>4</v>
      </c>
      <c r="F8" s="13">
        <f t="shared" si="0"/>
        <v>1</v>
      </c>
    </row>
    <row r="9" spans="1:6" ht="20.100000000000001" customHeight="1" x14ac:dyDescent="0.25">
      <c r="A9" s="9" t="s">
        <v>34</v>
      </c>
      <c r="B9" s="10" t="s">
        <v>35</v>
      </c>
      <c r="C9" s="10" t="s">
        <v>36</v>
      </c>
      <c r="D9" s="11">
        <v>0.2</v>
      </c>
      <c r="E9" s="12">
        <v>5</v>
      </c>
      <c r="F9" s="13">
        <f t="shared" si="0"/>
        <v>1</v>
      </c>
    </row>
    <row r="10" spans="1:6" ht="20.100000000000001" customHeight="1" x14ac:dyDescent="0.25">
      <c r="A10" s="9" t="s">
        <v>37</v>
      </c>
      <c r="B10" s="10" t="s">
        <v>38</v>
      </c>
      <c r="C10" s="10" t="s">
        <v>39</v>
      </c>
      <c r="D10" s="11">
        <v>0.15</v>
      </c>
      <c r="E10" s="12">
        <v>4</v>
      </c>
      <c r="F10" s="13">
        <f t="shared" si="0"/>
        <v>0.6</v>
      </c>
    </row>
    <row r="11" spans="1:6" ht="20.100000000000001" customHeight="1" x14ac:dyDescent="0.25">
      <c r="A11" s="9" t="s">
        <v>40</v>
      </c>
      <c r="B11" s="10" t="s">
        <v>41</v>
      </c>
      <c r="C11" s="10" t="s">
        <v>42</v>
      </c>
      <c r="D11" s="11">
        <v>0.1</v>
      </c>
      <c r="E11" s="12">
        <v>4</v>
      </c>
      <c r="F11" s="13">
        <f t="shared" si="0"/>
        <v>0.4</v>
      </c>
    </row>
    <row r="12" spans="1:6" ht="20.100000000000001" customHeight="1" x14ac:dyDescent="0.25">
      <c r="A12" s="9" t="s">
        <v>43</v>
      </c>
      <c r="B12" s="10"/>
      <c r="C12" s="10"/>
      <c r="D12" s="11"/>
      <c r="E12" s="12"/>
      <c r="F12" s="13">
        <f t="shared" si="0"/>
        <v>0</v>
      </c>
    </row>
    <row r="13" spans="1:6" ht="20.100000000000001" customHeight="1" x14ac:dyDescent="0.25">
      <c r="A13" s="9" t="s">
        <v>44</v>
      </c>
      <c r="B13" s="10"/>
      <c r="C13" s="10"/>
      <c r="D13" s="11"/>
      <c r="E13" s="12"/>
      <c r="F13" s="13">
        <f t="shared" si="0"/>
        <v>0</v>
      </c>
    </row>
    <row r="14" spans="1:6" ht="20.100000000000001" customHeight="1" x14ac:dyDescent="0.25">
      <c r="A14" s="9" t="s">
        <v>45</v>
      </c>
      <c r="B14" s="10"/>
      <c r="C14" s="10"/>
      <c r="D14" s="11"/>
      <c r="E14" s="12"/>
      <c r="F14" s="13">
        <f t="shared" si="0"/>
        <v>0</v>
      </c>
    </row>
    <row r="15" spans="1:6" ht="20.100000000000001" customHeight="1" x14ac:dyDescent="0.25">
      <c r="A15" s="9" t="s">
        <v>46</v>
      </c>
      <c r="B15" s="10"/>
      <c r="C15" s="10"/>
      <c r="D15" s="11"/>
      <c r="E15" s="12"/>
      <c r="F15" s="13">
        <f t="shared" si="0"/>
        <v>0</v>
      </c>
    </row>
    <row r="16" spans="1:6" ht="20.100000000000001" customHeight="1" x14ac:dyDescent="0.25">
      <c r="A16" s="9" t="s">
        <v>47</v>
      </c>
      <c r="B16" s="10"/>
      <c r="C16" s="10"/>
      <c r="D16" s="11"/>
      <c r="E16" s="12"/>
      <c r="F16" s="13">
        <f t="shared" si="0"/>
        <v>0</v>
      </c>
    </row>
    <row r="17" spans="1:6" ht="24" customHeight="1" x14ac:dyDescent="0.25">
      <c r="A17" s="14"/>
      <c r="B17" s="14"/>
      <c r="C17" s="15" t="s">
        <v>48</v>
      </c>
      <c r="D17" s="16">
        <f>SUM(D7:D16)</f>
        <v>1</v>
      </c>
      <c r="E17" s="17" t="str">
        <f>IF(COUNTBLANK(D7:D16)=10, "— Sin datos —", IF(ROUND(SUM(D7:D16),2)=1, "✓ 100% Correcto", "⚠ Suma: " &amp; TEXT(SUM(D7:D16),"0.0%") &amp; " (debe sumar 100%)"))</f>
        <v>✓ 100% Correcto</v>
      </c>
      <c r="F17" s="18">
        <f>SUM(F7:F16)</f>
        <v>4.5</v>
      </c>
    </row>
    <row r="20" spans="1:6" ht="26.1" customHeight="1" x14ac:dyDescent="0.25">
      <c r="A20" s="47" t="s">
        <v>49</v>
      </c>
      <c r="B20" s="35"/>
      <c r="C20" s="35"/>
      <c r="D20" s="35"/>
      <c r="E20" s="35"/>
      <c r="F20" s="35"/>
    </row>
    <row r="21" spans="1:6" ht="21.95" customHeight="1" x14ac:dyDescent="0.25">
      <c r="A21" s="6" t="s">
        <v>22</v>
      </c>
      <c r="B21" s="7" t="s">
        <v>23</v>
      </c>
      <c r="C21" s="7" t="s">
        <v>24</v>
      </c>
      <c r="D21" s="8" t="s">
        <v>25</v>
      </c>
      <c r="E21" s="6" t="s">
        <v>26</v>
      </c>
      <c r="F21" s="8" t="s">
        <v>27</v>
      </c>
    </row>
    <row r="22" spans="1:6" ht="20.100000000000001" customHeight="1" x14ac:dyDescent="0.25">
      <c r="A22" s="9" t="s">
        <v>50</v>
      </c>
      <c r="B22" s="10" t="s">
        <v>51</v>
      </c>
      <c r="C22" s="10" t="s">
        <v>52</v>
      </c>
      <c r="D22" s="11">
        <v>0.3</v>
      </c>
      <c r="E22" s="12">
        <v>4</v>
      </c>
      <c r="F22" s="13">
        <f t="shared" ref="F22:F31" si="1">IF(OR(B22="", D22=""), 0, D22*E22)</f>
        <v>1.2</v>
      </c>
    </row>
    <row r="23" spans="1:6" ht="20.100000000000001" customHeight="1" x14ac:dyDescent="0.25">
      <c r="A23" s="9" t="s">
        <v>53</v>
      </c>
      <c r="B23" s="10" t="s">
        <v>54</v>
      </c>
      <c r="C23" s="10" t="s">
        <v>55</v>
      </c>
      <c r="D23" s="11">
        <v>0.25</v>
      </c>
      <c r="E23" s="12">
        <v>3</v>
      </c>
      <c r="F23" s="13">
        <f t="shared" si="1"/>
        <v>0.75</v>
      </c>
    </row>
    <row r="24" spans="1:6" ht="20.100000000000001" customHeight="1" x14ac:dyDescent="0.25">
      <c r="A24" s="9" t="s">
        <v>56</v>
      </c>
      <c r="B24" s="10" t="s">
        <v>57</v>
      </c>
      <c r="C24" s="10" t="s">
        <v>58</v>
      </c>
      <c r="D24" s="11">
        <v>0.2</v>
      </c>
      <c r="E24" s="12">
        <v>4</v>
      </c>
      <c r="F24" s="13">
        <f t="shared" si="1"/>
        <v>0.8</v>
      </c>
    </row>
    <row r="25" spans="1:6" ht="20.100000000000001" customHeight="1" x14ac:dyDescent="0.25">
      <c r="A25" s="9" t="s">
        <v>59</v>
      </c>
      <c r="B25" s="10" t="s">
        <v>60</v>
      </c>
      <c r="C25" s="10" t="s">
        <v>61</v>
      </c>
      <c r="D25" s="11">
        <v>0.15</v>
      </c>
      <c r="E25" s="12">
        <v>3</v>
      </c>
      <c r="F25" s="13">
        <f t="shared" si="1"/>
        <v>0.44999999999999996</v>
      </c>
    </row>
    <row r="26" spans="1:6" ht="20.100000000000001" customHeight="1" x14ac:dyDescent="0.25">
      <c r="A26" s="9" t="s">
        <v>62</v>
      </c>
      <c r="B26" s="10" t="s">
        <v>63</v>
      </c>
      <c r="C26" s="10" t="s">
        <v>64</v>
      </c>
      <c r="D26" s="11">
        <v>0.1</v>
      </c>
      <c r="E26" s="12">
        <v>3</v>
      </c>
      <c r="F26" s="13">
        <f t="shared" si="1"/>
        <v>0.30000000000000004</v>
      </c>
    </row>
    <row r="27" spans="1:6" ht="20.100000000000001" customHeight="1" x14ac:dyDescent="0.25">
      <c r="A27" s="9" t="s">
        <v>65</v>
      </c>
      <c r="B27" s="10"/>
      <c r="C27" s="10"/>
      <c r="D27" s="11"/>
      <c r="E27" s="12"/>
      <c r="F27" s="13">
        <f t="shared" si="1"/>
        <v>0</v>
      </c>
    </row>
    <row r="28" spans="1:6" ht="20.100000000000001" customHeight="1" x14ac:dyDescent="0.25">
      <c r="A28" s="9" t="s">
        <v>66</v>
      </c>
      <c r="B28" s="10"/>
      <c r="C28" s="10"/>
      <c r="D28" s="11"/>
      <c r="E28" s="12"/>
      <c r="F28" s="13">
        <f t="shared" si="1"/>
        <v>0</v>
      </c>
    </row>
    <row r="29" spans="1:6" ht="20.100000000000001" customHeight="1" x14ac:dyDescent="0.25">
      <c r="A29" s="9" t="s">
        <v>67</v>
      </c>
      <c r="B29" s="10"/>
      <c r="C29" s="10"/>
      <c r="D29" s="11"/>
      <c r="E29" s="12"/>
      <c r="F29" s="13">
        <f t="shared" si="1"/>
        <v>0</v>
      </c>
    </row>
    <row r="30" spans="1:6" ht="20.100000000000001" customHeight="1" x14ac:dyDescent="0.25">
      <c r="A30" s="9" t="s">
        <v>68</v>
      </c>
      <c r="B30" s="10"/>
      <c r="C30" s="10"/>
      <c r="D30" s="11"/>
      <c r="E30" s="12"/>
      <c r="F30" s="13">
        <f t="shared" si="1"/>
        <v>0</v>
      </c>
    </row>
    <row r="31" spans="1:6" ht="20.100000000000001" customHeight="1" x14ac:dyDescent="0.25">
      <c r="A31" s="9" t="s">
        <v>69</v>
      </c>
      <c r="B31" s="10"/>
      <c r="C31" s="10"/>
      <c r="D31" s="11"/>
      <c r="E31" s="12"/>
      <c r="F31" s="13">
        <f t="shared" si="1"/>
        <v>0</v>
      </c>
    </row>
    <row r="32" spans="1:6" ht="24" customHeight="1" x14ac:dyDescent="0.25">
      <c r="A32" s="14"/>
      <c r="B32" s="14"/>
      <c r="C32" s="15" t="s">
        <v>48</v>
      </c>
      <c r="D32" s="19">
        <f>SUM(D22:D31)</f>
        <v>1</v>
      </c>
      <c r="E32" s="17" t="str">
        <f>IF(COUNTBLANK(D22:D31)=10, "— Sin datos —", IF(ROUND(SUM(D22:D31),2)=1, "✓ 100% Correcto", "⚠ Suma: " &amp; TEXT(SUM(D22:D31),"0.0%") &amp; " (debe sumar 100%)"))</f>
        <v>✓ 100% Correcto</v>
      </c>
      <c r="F32" s="20">
        <f>SUM(F22:F31)</f>
        <v>3.5</v>
      </c>
    </row>
    <row r="35" spans="1:6" ht="26.1" customHeight="1" x14ac:dyDescent="0.25">
      <c r="A35" s="45" t="s">
        <v>70</v>
      </c>
      <c r="B35" s="35"/>
      <c r="C35" s="35"/>
      <c r="D35" s="35"/>
      <c r="E35" s="35"/>
      <c r="F35" s="35"/>
    </row>
    <row r="36" spans="1:6" ht="21.95" customHeight="1" x14ac:dyDescent="0.25">
      <c r="A36" s="6" t="s">
        <v>22</v>
      </c>
      <c r="B36" s="7" t="s">
        <v>23</v>
      </c>
      <c r="C36" s="7" t="s">
        <v>24</v>
      </c>
      <c r="D36" s="8" t="s">
        <v>25</v>
      </c>
      <c r="E36" s="6" t="s">
        <v>26</v>
      </c>
      <c r="F36" s="8" t="s">
        <v>27</v>
      </c>
    </row>
    <row r="37" spans="1:6" ht="20.100000000000001" customHeight="1" x14ac:dyDescent="0.25">
      <c r="A37" s="9" t="s">
        <v>71</v>
      </c>
      <c r="B37" s="10" t="s">
        <v>72</v>
      </c>
      <c r="C37" s="10" t="s">
        <v>73</v>
      </c>
      <c r="D37" s="11">
        <v>0.3</v>
      </c>
      <c r="E37" s="12">
        <v>5</v>
      </c>
      <c r="F37" s="13">
        <f t="shared" ref="F37:F46" si="2">IF(OR(B37="", D37=""), 0, D37*E37)</f>
        <v>1.5</v>
      </c>
    </row>
    <row r="38" spans="1:6" ht="20.100000000000001" customHeight="1" x14ac:dyDescent="0.25">
      <c r="A38" s="9" t="s">
        <v>74</v>
      </c>
      <c r="B38" s="10" t="s">
        <v>75</v>
      </c>
      <c r="C38" s="10" t="s">
        <v>76</v>
      </c>
      <c r="D38" s="11">
        <v>0.25</v>
      </c>
      <c r="E38" s="12">
        <v>5</v>
      </c>
      <c r="F38" s="13">
        <f t="shared" si="2"/>
        <v>1.25</v>
      </c>
    </row>
    <row r="39" spans="1:6" ht="20.100000000000001" customHeight="1" x14ac:dyDescent="0.25">
      <c r="A39" s="9" t="s">
        <v>77</v>
      </c>
      <c r="B39" s="10" t="s">
        <v>78</v>
      </c>
      <c r="C39" s="10" t="s">
        <v>79</v>
      </c>
      <c r="D39" s="11">
        <v>0.2</v>
      </c>
      <c r="E39" s="12">
        <v>4</v>
      </c>
      <c r="F39" s="13">
        <f t="shared" si="2"/>
        <v>0.8</v>
      </c>
    </row>
    <row r="40" spans="1:6" ht="20.100000000000001" customHeight="1" x14ac:dyDescent="0.25">
      <c r="A40" s="9" t="s">
        <v>80</v>
      </c>
      <c r="B40" s="10" t="s">
        <v>81</v>
      </c>
      <c r="C40" s="10" t="s">
        <v>82</v>
      </c>
      <c r="D40" s="11">
        <v>0.15</v>
      </c>
      <c r="E40" s="12">
        <v>4</v>
      </c>
      <c r="F40" s="13">
        <f t="shared" si="2"/>
        <v>0.6</v>
      </c>
    </row>
    <row r="41" spans="1:6" ht="20.100000000000001" customHeight="1" x14ac:dyDescent="0.25">
      <c r="A41" s="9" t="s">
        <v>83</v>
      </c>
      <c r="B41" s="10" t="s">
        <v>84</v>
      </c>
      <c r="C41" s="10" t="s">
        <v>85</v>
      </c>
      <c r="D41" s="11">
        <v>0.1</v>
      </c>
      <c r="E41" s="12">
        <v>4</v>
      </c>
      <c r="F41" s="13">
        <f t="shared" si="2"/>
        <v>0.4</v>
      </c>
    </row>
    <row r="42" spans="1:6" ht="20.100000000000001" customHeight="1" x14ac:dyDescent="0.25">
      <c r="A42" s="9" t="s">
        <v>86</v>
      </c>
      <c r="B42" s="10"/>
      <c r="C42" s="10"/>
      <c r="D42" s="11"/>
      <c r="E42" s="12"/>
      <c r="F42" s="13">
        <f t="shared" si="2"/>
        <v>0</v>
      </c>
    </row>
    <row r="43" spans="1:6" ht="20.100000000000001" customHeight="1" x14ac:dyDescent="0.25">
      <c r="A43" s="9" t="s">
        <v>87</v>
      </c>
      <c r="B43" s="10"/>
      <c r="C43" s="10"/>
      <c r="D43" s="11"/>
      <c r="E43" s="12"/>
      <c r="F43" s="13">
        <f t="shared" si="2"/>
        <v>0</v>
      </c>
    </row>
    <row r="44" spans="1:6" ht="20.100000000000001" customHeight="1" x14ac:dyDescent="0.25">
      <c r="A44" s="9" t="s">
        <v>88</v>
      </c>
      <c r="B44" s="10"/>
      <c r="C44" s="10"/>
      <c r="D44" s="11"/>
      <c r="E44" s="12"/>
      <c r="F44" s="13">
        <f t="shared" si="2"/>
        <v>0</v>
      </c>
    </row>
    <row r="45" spans="1:6" ht="20.100000000000001" customHeight="1" x14ac:dyDescent="0.25">
      <c r="A45" s="9" t="s">
        <v>89</v>
      </c>
      <c r="B45" s="10"/>
      <c r="C45" s="10"/>
      <c r="D45" s="11"/>
      <c r="E45" s="12"/>
      <c r="F45" s="13">
        <f t="shared" si="2"/>
        <v>0</v>
      </c>
    </row>
    <row r="46" spans="1:6" ht="20.100000000000001" customHeight="1" x14ac:dyDescent="0.25">
      <c r="A46" s="9" t="s">
        <v>90</v>
      </c>
      <c r="B46" s="10"/>
      <c r="C46" s="10"/>
      <c r="D46" s="11"/>
      <c r="E46" s="12"/>
      <c r="F46" s="13">
        <f t="shared" si="2"/>
        <v>0</v>
      </c>
    </row>
    <row r="47" spans="1:6" ht="24" customHeight="1" x14ac:dyDescent="0.25">
      <c r="A47" s="14"/>
      <c r="B47" s="14"/>
      <c r="C47" s="15" t="s">
        <v>48</v>
      </c>
      <c r="D47" s="21">
        <f>SUM(D37:D46)</f>
        <v>1</v>
      </c>
      <c r="E47" s="17" t="str">
        <f>IF(COUNTBLANK(D37:D46)=10, "— Sin datos —", IF(ROUND(SUM(D37:D46),2)=1, "✓ 100% Correcto", "⚠ Suma: " &amp; TEXT(SUM(D37:D46),"0.0%") &amp; " (debe sumar 100%)"))</f>
        <v>✓ 100% Correcto</v>
      </c>
      <c r="F47" s="22">
        <f>SUM(F37:F46)</f>
        <v>4.55</v>
      </c>
    </row>
    <row r="50" spans="1:6" ht="26.1" customHeight="1" x14ac:dyDescent="0.25">
      <c r="A50" s="46" t="s">
        <v>91</v>
      </c>
      <c r="B50" s="35"/>
      <c r="C50" s="35"/>
      <c r="D50" s="35"/>
      <c r="E50" s="35"/>
      <c r="F50" s="35"/>
    </row>
    <row r="51" spans="1:6" ht="21.95" customHeight="1" x14ac:dyDescent="0.25">
      <c r="A51" s="6" t="s">
        <v>22</v>
      </c>
      <c r="B51" s="7" t="s">
        <v>23</v>
      </c>
      <c r="C51" s="7" t="s">
        <v>24</v>
      </c>
      <c r="D51" s="8" t="s">
        <v>25</v>
      </c>
      <c r="E51" s="6" t="s">
        <v>26</v>
      </c>
      <c r="F51" s="8" t="s">
        <v>27</v>
      </c>
    </row>
    <row r="52" spans="1:6" ht="20.100000000000001" customHeight="1" x14ac:dyDescent="0.25">
      <c r="A52" s="9" t="s">
        <v>92</v>
      </c>
      <c r="B52" s="10" t="s">
        <v>93</v>
      </c>
      <c r="C52" s="10" t="s">
        <v>94</v>
      </c>
      <c r="D52" s="11">
        <v>0.3</v>
      </c>
      <c r="E52" s="12">
        <v>4</v>
      </c>
      <c r="F52" s="13">
        <f t="shared" ref="F52:F61" si="3">IF(OR(B52="", D52=""), 0, D52*E52)</f>
        <v>1.2</v>
      </c>
    </row>
    <row r="53" spans="1:6" ht="20.100000000000001" customHeight="1" x14ac:dyDescent="0.25">
      <c r="A53" s="9" t="s">
        <v>95</v>
      </c>
      <c r="B53" s="10" t="s">
        <v>96</v>
      </c>
      <c r="C53" s="10" t="s">
        <v>97</v>
      </c>
      <c r="D53" s="11">
        <v>0.25</v>
      </c>
      <c r="E53" s="12">
        <v>3</v>
      </c>
      <c r="F53" s="13">
        <f t="shared" si="3"/>
        <v>0.75</v>
      </c>
    </row>
    <row r="54" spans="1:6" ht="20.100000000000001" customHeight="1" x14ac:dyDescent="0.25">
      <c r="A54" s="9" t="s">
        <v>98</v>
      </c>
      <c r="B54" s="10" t="s">
        <v>99</v>
      </c>
      <c r="C54" s="10" t="s">
        <v>100</v>
      </c>
      <c r="D54" s="11">
        <v>0.2</v>
      </c>
      <c r="E54" s="12">
        <v>3</v>
      </c>
      <c r="F54" s="13">
        <f t="shared" si="3"/>
        <v>0.60000000000000009</v>
      </c>
    </row>
    <row r="55" spans="1:6" ht="20.100000000000001" customHeight="1" x14ac:dyDescent="0.25">
      <c r="A55" s="9" t="s">
        <v>101</v>
      </c>
      <c r="B55" s="10" t="s">
        <v>102</v>
      </c>
      <c r="C55" s="10" t="s">
        <v>103</v>
      </c>
      <c r="D55" s="11">
        <v>0.15</v>
      </c>
      <c r="E55" s="12">
        <v>4</v>
      </c>
      <c r="F55" s="13">
        <f t="shared" si="3"/>
        <v>0.6</v>
      </c>
    </row>
    <row r="56" spans="1:6" ht="20.100000000000001" customHeight="1" x14ac:dyDescent="0.25">
      <c r="A56" s="9" t="s">
        <v>104</v>
      </c>
      <c r="B56" s="10" t="s">
        <v>105</v>
      </c>
      <c r="C56" s="10" t="s">
        <v>106</v>
      </c>
      <c r="D56" s="11">
        <v>0.1</v>
      </c>
      <c r="E56" s="12">
        <v>3</v>
      </c>
      <c r="F56" s="13">
        <f t="shared" si="3"/>
        <v>0.30000000000000004</v>
      </c>
    </row>
    <row r="57" spans="1:6" ht="20.100000000000001" customHeight="1" x14ac:dyDescent="0.25">
      <c r="A57" s="9" t="s">
        <v>107</v>
      </c>
      <c r="B57" s="10"/>
      <c r="C57" s="10"/>
      <c r="D57" s="11"/>
      <c r="E57" s="12"/>
      <c r="F57" s="13">
        <f t="shared" si="3"/>
        <v>0</v>
      </c>
    </row>
    <row r="58" spans="1:6" ht="20.100000000000001" customHeight="1" x14ac:dyDescent="0.25">
      <c r="A58" s="9" t="s">
        <v>108</v>
      </c>
      <c r="B58" s="10"/>
      <c r="C58" s="10"/>
      <c r="D58" s="11"/>
      <c r="E58" s="12"/>
      <c r="F58" s="13">
        <f t="shared" si="3"/>
        <v>0</v>
      </c>
    </row>
    <row r="59" spans="1:6" ht="20.100000000000001" customHeight="1" x14ac:dyDescent="0.25">
      <c r="A59" s="9" t="s">
        <v>109</v>
      </c>
      <c r="B59" s="10"/>
      <c r="C59" s="10"/>
      <c r="D59" s="11"/>
      <c r="E59" s="12"/>
      <c r="F59" s="13">
        <f t="shared" si="3"/>
        <v>0</v>
      </c>
    </row>
    <row r="60" spans="1:6" ht="20.100000000000001" customHeight="1" x14ac:dyDescent="0.25">
      <c r="A60" s="9" t="s">
        <v>110</v>
      </c>
      <c r="B60" s="10"/>
      <c r="C60" s="10"/>
      <c r="D60" s="11"/>
      <c r="E60" s="12"/>
      <c r="F60" s="13">
        <f t="shared" si="3"/>
        <v>0</v>
      </c>
    </row>
    <row r="61" spans="1:6" ht="20.100000000000001" customHeight="1" x14ac:dyDescent="0.25">
      <c r="A61" s="9" t="s">
        <v>111</v>
      </c>
      <c r="B61" s="10"/>
      <c r="C61" s="10"/>
      <c r="D61" s="11"/>
      <c r="E61" s="12"/>
      <c r="F61" s="13">
        <f t="shared" si="3"/>
        <v>0</v>
      </c>
    </row>
    <row r="62" spans="1:6" ht="24" customHeight="1" x14ac:dyDescent="0.25">
      <c r="A62" s="14"/>
      <c r="B62" s="14"/>
      <c r="C62" s="15" t="s">
        <v>48</v>
      </c>
      <c r="D62" s="23">
        <f>SUM(D52:D61)</f>
        <v>1</v>
      </c>
      <c r="E62" s="17" t="str">
        <f>IF(COUNTBLANK(D52:D61)=10, "— Sin datos —", IF(ROUND(SUM(D52:D61),2)=1, "✓ 100% Correcto", "⚠ Suma: " &amp; TEXT(SUM(D52:D61),"0.0%") &amp; " (debe sumar 100%)"))</f>
        <v>✓ 100% Correcto</v>
      </c>
      <c r="F62" s="24">
        <f>SUM(F52:F61)</f>
        <v>3.45</v>
      </c>
    </row>
  </sheetData>
  <sheetProtection selectLockedCells="1" selectUnlockedCells="1"/>
  <mergeCells count="6">
    <mergeCell ref="A2:F2"/>
    <mergeCell ref="A5:F5"/>
    <mergeCell ref="A35:F35"/>
    <mergeCell ref="A50:F5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2"/>
  <sheetViews>
    <sheetView tabSelected="1" workbookViewId="0"/>
  </sheetViews>
  <sheetFormatPr baseColWidth="10" defaultColWidth="9.140625" defaultRowHeight="15" x14ac:dyDescent="0.25"/>
  <cols>
    <col min="1" max="1" width="8" customWidth="1"/>
    <col min="2" max="2" width="34" customWidth="1"/>
    <col min="3" max="22" width="7" customWidth="1"/>
    <col min="23" max="23" width="12" customWidth="1"/>
  </cols>
  <sheetData>
    <row r="2" spans="1:23" ht="36" customHeight="1" x14ac:dyDescent="0.25">
      <c r="A2" s="37" t="s">
        <v>112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ht="20.100000000000001" customHeight="1" x14ac:dyDescent="0.25">
      <c r="A3" s="34" t="s">
        <v>113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5" spans="1:23" x14ac:dyDescent="0.25">
      <c r="C5" s="49" t="s">
        <v>114</v>
      </c>
      <c r="D5" s="35"/>
      <c r="E5" s="35"/>
      <c r="F5" s="35"/>
      <c r="G5" s="35"/>
      <c r="H5" s="35"/>
      <c r="I5" s="35"/>
      <c r="J5" s="35"/>
      <c r="K5" s="35"/>
      <c r="L5" s="35"/>
      <c r="M5" s="52" t="s">
        <v>115</v>
      </c>
      <c r="N5" s="35"/>
      <c r="O5" s="35"/>
      <c r="P5" s="35"/>
      <c r="Q5" s="35"/>
      <c r="R5" s="35"/>
      <c r="S5" s="35"/>
      <c r="T5" s="35"/>
      <c r="U5" s="35"/>
      <c r="V5" s="35"/>
    </row>
    <row r="6" spans="1:23" ht="24" customHeight="1" x14ac:dyDescent="0.25">
      <c r="A6" s="4" t="s">
        <v>116</v>
      </c>
      <c r="B6" s="25" t="s">
        <v>117</v>
      </c>
      <c r="C6" s="26" t="s">
        <v>71</v>
      </c>
      <c r="D6" s="26" t="s">
        <v>74</v>
      </c>
      <c r="E6" s="26" t="s">
        <v>77</v>
      </c>
      <c r="F6" s="26" t="s">
        <v>80</v>
      </c>
      <c r="G6" s="26" t="s">
        <v>83</v>
      </c>
      <c r="H6" s="26" t="s">
        <v>86</v>
      </c>
      <c r="I6" s="26" t="s">
        <v>87</v>
      </c>
      <c r="J6" s="26" t="s">
        <v>88</v>
      </c>
      <c r="K6" s="26" t="s">
        <v>89</v>
      </c>
      <c r="L6" s="26" t="s">
        <v>90</v>
      </c>
      <c r="M6" s="27" t="s">
        <v>92</v>
      </c>
      <c r="N6" s="27" t="s">
        <v>95</v>
      </c>
      <c r="O6" s="27" t="s">
        <v>98</v>
      </c>
      <c r="P6" s="27" t="s">
        <v>101</v>
      </c>
      <c r="Q6" s="27" t="s">
        <v>104</v>
      </c>
      <c r="R6" s="27" t="s">
        <v>107</v>
      </c>
      <c r="S6" s="27" t="s">
        <v>108</v>
      </c>
      <c r="T6" s="27" t="s">
        <v>109</v>
      </c>
      <c r="U6" s="27" t="s">
        <v>110</v>
      </c>
      <c r="V6" s="27" t="s">
        <v>111</v>
      </c>
      <c r="W6" s="4" t="s">
        <v>118</v>
      </c>
    </row>
    <row r="7" spans="1:23" ht="20.100000000000001" customHeight="1" x14ac:dyDescent="0.25">
      <c r="A7" s="55" t="s">
        <v>119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 ht="18.95" customHeight="1" x14ac:dyDescent="0.25">
      <c r="A8" s="9" t="s">
        <v>28</v>
      </c>
      <c r="B8" s="2" t="str">
        <f>IF('Evaluación FODA'!B7&lt;&gt;"", 'Evaluación FODA'!B7, "F01 [Disponible]")</f>
        <v>Margen operativo bruto superior al sector (+18.4%)</v>
      </c>
      <c r="C8" s="28">
        <v>3</v>
      </c>
      <c r="D8" s="28">
        <v>3</v>
      </c>
      <c r="E8" s="28">
        <v>2</v>
      </c>
      <c r="F8" s="28">
        <v>3</v>
      </c>
      <c r="G8" s="28">
        <v>2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2</v>
      </c>
      <c r="N8" s="28">
        <v>1</v>
      </c>
      <c r="O8" s="28">
        <v>1</v>
      </c>
      <c r="P8" s="28">
        <v>3</v>
      </c>
      <c r="Q8" s="28">
        <v>2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5">
        <f t="shared" ref="W8:W17" si="0">SUM(C8:V8)</f>
        <v>22</v>
      </c>
    </row>
    <row r="9" spans="1:23" ht="18.95" customHeight="1" x14ac:dyDescent="0.25">
      <c r="A9" s="9" t="s">
        <v>31</v>
      </c>
      <c r="B9" s="2" t="str">
        <f>IF('Evaluación FODA'!B8&lt;&gt;"", 'Evaluación FODA'!B8, "F02 [Disponible]")</f>
        <v>Propiedad Intelectual y patentes de software predictivo</v>
      </c>
      <c r="C9" s="28">
        <v>3</v>
      </c>
      <c r="D9" s="28">
        <v>3</v>
      </c>
      <c r="E9" s="28">
        <v>1</v>
      </c>
      <c r="F9" s="28">
        <v>2</v>
      </c>
      <c r="G9" s="28">
        <v>3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1</v>
      </c>
      <c r="N9" s="28">
        <v>2</v>
      </c>
      <c r="O9" s="28">
        <v>1</v>
      </c>
      <c r="P9" s="28">
        <v>2</v>
      </c>
      <c r="Q9" s="28">
        <v>3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5">
        <f t="shared" si="0"/>
        <v>21</v>
      </c>
    </row>
    <row r="10" spans="1:23" ht="18.95" customHeight="1" x14ac:dyDescent="0.25">
      <c r="A10" s="9" t="s">
        <v>34</v>
      </c>
      <c r="B10" s="2" t="str">
        <f>IF('Evaluación FODA'!B9&lt;&gt;"", 'Evaluación FODA'!B9, "F03 [Disponible]")</f>
        <v>Retención neta de clientes enterprise (NRR) del 118%</v>
      </c>
      <c r="C10" s="28">
        <v>2</v>
      </c>
      <c r="D10" s="28">
        <v>3</v>
      </c>
      <c r="E10" s="28">
        <v>3</v>
      </c>
      <c r="F10" s="28">
        <v>2</v>
      </c>
      <c r="G10" s="28">
        <v>2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2</v>
      </c>
      <c r="N10" s="28">
        <v>1</v>
      </c>
      <c r="O10" s="28">
        <v>2</v>
      </c>
      <c r="P10" s="28">
        <v>2</v>
      </c>
      <c r="Q10" s="28">
        <v>2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5">
        <f t="shared" si="0"/>
        <v>21</v>
      </c>
    </row>
    <row r="11" spans="1:23" ht="18.95" customHeight="1" x14ac:dyDescent="0.25">
      <c r="A11" s="9" t="s">
        <v>37</v>
      </c>
      <c r="B11" s="2" t="str">
        <f>IF('Evaluación FODA'!B10&lt;&gt;"", 'Evaluación FODA'!B10, "F04 [Disponible]")</f>
        <v>Infraestructura cloud certificada ISO 27001 y ENS Alto</v>
      </c>
      <c r="C11" s="28">
        <v>2</v>
      </c>
      <c r="D11" s="28">
        <v>3</v>
      </c>
      <c r="E11" s="28">
        <v>2</v>
      </c>
      <c r="F11" s="28">
        <v>3</v>
      </c>
      <c r="G11" s="28">
        <v>3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2</v>
      </c>
      <c r="N11" s="28">
        <v>1</v>
      </c>
      <c r="O11" s="28">
        <v>1</v>
      </c>
      <c r="P11" s="28">
        <v>1</v>
      </c>
      <c r="Q11" s="28">
        <v>3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5">
        <f t="shared" si="0"/>
        <v>21</v>
      </c>
    </row>
    <row r="12" spans="1:23" ht="18.95" customHeight="1" x14ac:dyDescent="0.25">
      <c r="A12" s="9" t="s">
        <v>40</v>
      </c>
      <c r="B12" s="2" t="str">
        <f>IF('Evaluación FODA'!B11&lt;&gt;"", 'Evaluación FODA'!B11, "F05 [Disponible]")</f>
        <v>Equipo de I+D interno con baja rotación de talento (&lt;4%)</v>
      </c>
      <c r="C12" s="28">
        <v>2</v>
      </c>
      <c r="D12" s="28">
        <v>2</v>
      </c>
      <c r="E12" s="28">
        <v>1</v>
      </c>
      <c r="F12" s="28">
        <v>1</v>
      </c>
      <c r="G12" s="28">
        <v>2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1</v>
      </c>
      <c r="N12" s="28">
        <v>3</v>
      </c>
      <c r="O12" s="28">
        <v>1</v>
      </c>
      <c r="P12" s="28">
        <v>2</v>
      </c>
      <c r="Q12" s="28">
        <v>1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5">
        <f t="shared" si="0"/>
        <v>16</v>
      </c>
    </row>
    <row r="13" spans="1:23" ht="18.95" customHeight="1" x14ac:dyDescent="0.25">
      <c r="A13" s="9" t="s">
        <v>43</v>
      </c>
      <c r="B13" s="2" t="str">
        <f>IF('Evaluación FODA'!B12&lt;&gt;"", 'Evaluación FODA'!B12, "F06 [Disponible]")</f>
        <v>F06 [Disponible]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5">
        <f t="shared" si="0"/>
        <v>0</v>
      </c>
    </row>
    <row r="14" spans="1:23" ht="18.95" customHeight="1" x14ac:dyDescent="0.25">
      <c r="A14" s="9" t="s">
        <v>44</v>
      </c>
      <c r="B14" s="2" t="str">
        <f>IF('Evaluación FODA'!B13&lt;&gt;"", 'Evaluación FODA'!B13, "F07 [Disponible]")</f>
        <v>F07 [Disponible]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5">
        <f t="shared" si="0"/>
        <v>0</v>
      </c>
    </row>
    <row r="15" spans="1:23" ht="18.95" customHeight="1" x14ac:dyDescent="0.25">
      <c r="A15" s="9" t="s">
        <v>45</v>
      </c>
      <c r="B15" s="2" t="str">
        <f>IF('Evaluación FODA'!B14&lt;&gt;"", 'Evaluación FODA'!B14, "F08 [Disponible]")</f>
        <v>F08 [Disponible]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5">
        <f t="shared" si="0"/>
        <v>0</v>
      </c>
    </row>
    <row r="16" spans="1:23" ht="18.95" customHeight="1" x14ac:dyDescent="0.25">
      <c r="A16" s="9" t="s">
        <v>46</v>
      </c>
      <c r="B16" s="2" t="str">
        <f>IF('Evaluación FODA'!B15&lt;&gt;"", 'Evaluación FODA'!B15, "F09 [Disponible]")</f>
        <v>F09 [Disponible]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5">
        <f t="shared" si="0"/>
        <v>0</v>
      </c>
    </row>
    <row r="17" spans="1:23" ht="18.95" customHeight="1" x14ac:dyDescent="0.25">
      <c r="A17" s="9" t="s">
        <v>47</v>
      </c>
      <c r="B17" s="2" t="str">
        <f>IF('Evaluación FODA'!B16&lt;&gt;"", 'Evaluación FODA'!B16, "F10 [Disponible]")</f>
        <v>F10 [Disponible]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5">
        <f t="shared" si="0"/>
        <v>0</v>
      </c>
    </row>
    <row r="18" spans="1:23" ht="20.100000000000001" customHeight="1" x14ac:dyDescent="0.25">
      <c r="A18" s="51" t="s">
        <v>120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 ht="18.95" customHeight="1" x14ac:dyDescent="0.25">
      <c r="A19" s="9" t="s">
        <v>50</v>
      </c>
      <c r="B19" s="2" t="str">
        <f>IF('Evaluación FODA'!B21&lt;&gt;"", 'Evaluación FODA'!B21, "D01 [Disponible]")</f>
        <v>Factor Estratégico Evaluado (Editable)</v>
      </c>
      <c r="C19" s="28">
        <v>1</v>
      </c>
      <c r="D19" s="28">
        <v>1</v>
      </c>
      <c r="E19" s="28">
        <v>3</v>
      </c>
      <c r="F19" s="28">
        <v>2</v>
      </c>
      <c r="G19" s="28">
        <v>1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3</v>
      </c>
      <c r="N19" s="28">
        <v>1</v>
      </c>
      <c r="O19" s="28">
        <v>3</v>
      </c>
      <c r="P19" s="28">
        <v>3</v>
      </c>
      <c r="Q19" s="28">
        <v>2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5">
        <f t="shared" ref="W19:W28" si="1">SUM(C19:V19)</f>
        <v>20</v>
      </c>
    </row>
    <row r="20" spans="1:23" ht="18.95" customHeight="1" x14ac:dyDescent="0.25">
      <c r="A20" s="9" t="s">
        <v>53</v>
      </c>
      <c r="B20" s="2" t="str">
        <f>IF('Evaluación FODA'!B22&lt;&gt;"", 'Evaluación FODA'!B22, "D02 [Disponible]")</f>
        <v>Concentración de ingresos en 2 clientes clave (42% facturación)</v>
      </c>
      <c r="C20" s="28">
        <v>1</v>
      </c>
      <c r="D20" s="28">
        <v>2</v>
      </c>
      <c r="E20" s="28">
        <v>1</v>
      </c>
      <c r="F20" s="28">
        <v>1</v>
      </c>
      <c r="G20" s="28">
        <v>2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3</v>
      </c>
      <c r="N20" s="28">
        <v>2</v>
      </c>
      <c r="O20" s="28">
        <v>2</v>
      </c>
      <c r="P20" s="28">
        <v>3</v>
      </c>
      <c r="Q20" s="28">
        <v>1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5">
        <f t="shared" si="1"/>
        <v>18</v>
      </c>
    </row>
    <row r="21" spans="1:23" ht="18.95" customHeight="1" x14ac:dyDescent="0.25">
      <c r="A21" s="9" t="s">
        <v>56</v>
      </c>
      <c r="B21" s="2" t="str">
        <f>IF('Evaluación FODA'!B23&lt;&gt;"", 'Evaluación FODA'!B23, "D03 [Disponible]")</f>
        <v>Lead time de ciclo de ventas enterprise prolongado (8.5 meses)</v>
      </c>
      <c r="C21" s="28">
        <v>1</v>
      </c>
      <c r="D21" s="28">
        <v>1</v>
      </c>
      <c r="E21" s="28">
        <v>2</v>
      </c>
      <c r="F21" s="28">
        <v>1</v>
      </c>
      <c r="G21" s="28">
        <v>1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3</v>
      </c>
      <c r="N21" s="28">
        <v>2</v>
      </c>
      <c r="O21" s="28">
        <v>3</v>
      </c>
      <c r="P21" s="28">
        <v>2</v>
      </c>
      <c r="Q21" s="28">
        <v>2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5">
        <f t="shared" si="1"/>
        <v>18</v>
      </c>
    </row>
    <row r="22" spans="1:23" ht="18.95" customHeight="1" x14ac:dyDescent="0.25">
      <c r="A22" s="9" t="s">
        <v>59</v>
      </c>
      <c r="B22" s="2" t="str">
        <f>IF('Evaluación FODA'!B24&lt;&gt;"", 'Evaluación FODA'!B24, "D04 [Disponible]")</f>
        <v>Dependencia técnica de canal de hardware internacional</v>
      </c>
      <c r="C22" s="28">
        <v>1</v>
      </c>
      <c r="D22" s="28">
        <v>1</v>
      </c>
      <c r="E22" s="28">
        <v>1</v>
      </c>
      <c r="F22" s="28">
        <v>2</v>
      </c>
      <c r="G22" s="28">
        <v>1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2</v>
      </c>
      <c r="N22" s="28">
        <v>1</v>
      </c>
      <c r="O22" s="28">
        <v>2</v>
      </c>
      <c r="P22" s="28">
        <v>2</v>
      </c>
      <c r="Q22" s="28">
        <v>1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5">
        <f t="shared" si="1"/>
        <v>14</v>
      </c>
    </row>
    <row r="23" spans="1:23" ht="18.95" customHeight="1" x14ac:dyDescent="0.25">
      <c r="A23" s="9" t="s">
        <v>62</v>
      </c>
      <c r="B23" s="2" t="str">
        <f>IF('Evaluación FODA'!B25&lt;&gt;"", 'Evaluación FODA'!B25, "D05 [Disponible]")</f>
        <v>Equipo comercial directo infradimensionado en mercados DACH</v>
      </c>
      <c r="C23" s="28">
        <v>1</v>
      </c>
      <c r="D23" s="28">
        <v>2</v>
      </c>
      <c r="E23" s="28">
        <v>1</v>
      </c>
      <c r="F23" s="28">
        <v>1</v>
      </c>
      <c r="G23" s="28">
        <v>1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1</v>
      </c>
      <c r="N23" s="28">
        <v>2</v>
      </c>
      <c r="O23" s="28">
        <v>1</v>
      </c>
      <c r="P23" s="28">
        <v>1</v>
      </c>
      <c r="Q23" s="28">
        <v>3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5">
        <f t="shared" si="1"/>
        <v>14</v>
      </c>
    </row>
    <row r="24" spans="1:23" ht="18.95" customHeight="1" x14ac:dyDescent="0.25">
      <c r="A24" s="9" t="s">
        <v>65</v>
      </c>
      <c r="B24" s="2" t="str">
        <f>IF('Evaluación FODA'!B26&lt;&gt;"", 'Evaluación FODA'!B26, "D06 [Disponible]")</f>
        <v>Deuda técnica en módulo legacy de facturación multi-divisa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5">
        <f t="shared" si="1"/>
        <v>0</v>
      </c>
    </row>
    <row r="25" spans="1:23" ht="18.95" customHeight="1" x14ac:dyDescent="0.25">
      <c r="A25" s="9" t="s">
        <v>66</v>
      </c>
      <c r="B25" s="2" t="str">
        <f>IF('Evaluación FODA'!B27&lt;&gt;"", 'Evaluación FODA'!B27, "D07 [Disponible]")</f>
        <v>D07 [Disponible]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5">
        <f t="shared" si="1"/>
        <v>0</v>
      </c>
    </row>
    <row r="26" spans="1:23" ht="18.95" customHeight="1" x14ac:dyDescent="0.25">
      <c r="A26" s="9" t="s">
        <v>67</v>
      </c>
      <c r="B26" s="2" t="str">
        <f>IF('Evaluación FODA'!B28&lt;&gt;"", 'Evaluación FODA'!B28, "D08 [Disponible]")</f>
        <v>D08 [Disponible]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5">
        <f t="shared" si="1"/>
        <v>0</v>
      </c>
    </row>
    <row r="27" spans="1:23" ht="18.95" customHeight="1" x14ac:dyDescent="0.25">
      <c r="A27" s="9" t="s">
        <v>68</v>
      </c>
      <c r="B27" s="2" t="str">
        <f>IF('Evaluación FODA'!B29&lt;&gt;"", 'Evaluación FODA'!B29, "D09 [Disponible]")</f>
        <v>D09 [Disponible]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5">
        <f t="shared" si="1"/>
        <v>0</v>
      </c>
    </row>
    <row r="28" spans="1:23" ht="18.95" customHeight="1" x14ac:dyDescent="0.25">
      <c r="A28" s="9" t="s">
        <v>69</v>
      </c>
      <c r="B28" s="2" t="str">
        <f>IF('Evaluación FODA'!B30&lt;&gt;"", 'Evaluación FODA'!B30, "D10 [Disponible]")</f>
        <v>D10 [Disponible]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5">
        <f t="shared" si="1"/>
        <v>0</v>
      </c>
    </row>
    <row r="29" spans="1:23" ht="24" customHeight="1" x14ac:dyDescent="0.25">
      <c r="A29" s="14"/>
      <c r="B29" s="15" t="s">
        <v>121</v>
      </c>
      <c r="C29" s="17">
        <f t="shared" ref="C29:W29" si="2">SUM(C8:C17)+SUM(C19:C28)</f>
        <v>17</v>
      </c>
      <c r="D29" s="17">
        <f t="shared" si="2"/>
        <v>21</v>
      </c>
      <c r="E29" s="17">
        <f t="shared" si="2"/>
        <v>17</v>
      </c>
      <c r="F29" s="17">
        <f t="shared" si="2"/>
        <v>18</v>
      </c>
      <c r="G29" s="17">
        <f t="shared" si="2"/>
        <v>18</v>
      </c>
      <c r="H29" s="17">
        <f t="shared" si="2"/>
        <v>0</v>
      </c>
      <c r="I29" s="17">
        <f t="shared" si="2"/>
        <v>0</v>
      </c>
      <c r="J29" s="17">
        <f t="shared" si="2"/>
        <v>0</v>
      </c>
      <c r="K29" s="17">
        <f t="shared" si="2"/>
        <v>0</v>
      </c>
      <c r="L29" s="17">
        <f t="shared" si="2"/>
        <v>0</v>
      </c>
      <c r="M29" s="17">
        <f t="shared" si="2"/>
        <v>20</v>
      </c>
      <c r="N29" s="17">
        <f t="shared" si="2"/>
        <v>16</v>
      </c>
      <c r="O29" s="17">
        <f t="shared" si="2"/>
        <v>17</v>
      </c>
      <c r="P29" s="17">
        <f t="shared" si="2"/>
        <v>21</v>
      </c>
      <c r="Q29" s="17">
        <f t="shared" si="2"/>
        <v>20</v>
      </c>
      <c r="R29" s="17">
        <f t="shared" si="2"/>
        <v>0</v>
      </c>
      <c r="S29" s="17">
        <f t="shared" si="2"/>
        <v>0</v>
      </c>
      <c r="T29" s="17">
        <f t="shared" si="2"/>
        <v>0</v>
      </c>
      <c r="U29" s="17">
        <f t="shared" si="2"/>
        <v>0</v>
      </c>
      <c r="V29" s="17">
        <f t="shared" si="2"/>
        <v>0</v>
      </c>
      <c r="W29" s="29">
        <f t="shared" si="2"/>
        <v>185</v>
      </c>
    </row>
    <row r="31" spans="1:23" x14ac:dyDescent="0.25">
      <c r="B31" s="48" t="s">
        <v>122</v>
      </c>
      <c r="C31" s="35"/>
      <c r="D31" s="35"/>
      <c r="E31" s="35"/>
      <c r="F31" s="35"/>
      <c r="H31" s="48" t="s">
        <v>123</v>
      </c>
      <c r="I31" s="35"/>
      <c r="J31" s="35"/>
      <c r="K31" s="35"/>
      <c r="L31" s="35"/>
      <c r="N31" s="48" t="s">
        <v>124</v>
      </c>
      <c r="O31" s="35"/>
      <c r="P31" s="35"/>
      <c r="Q31" s="35"/>
      <c r="R31" s="35"/>
      <c r="T31" s="48" t="s">
        <v>125</v>
      </c>
      <c r="U31" s="35"/>
      <c r="V31" s="35"/>
      <c r="W31" s="35"/>
    </row>
    <row r="32" spans="1:23" ht="25.5" x14ac:dyDescent="0.25">
      <c r="B32" s="56">
        <f>SUM(C8:L17)</f>
        <v>58</v>
      </c>
      <c r="C32" s="35"/>
      <c r="D32" s="35"/>
      <c r="E32" s="35"/>
      <c r="F32" s="35"/>
      <c r="H32" s="53">
        <f>SUM(M8:V17)</f>
        <v>43</v>
      </c>
      <c r="I32" s="35"/>
      <c r="J32" s="35"/>
      <c r="K32" s="35"/>
      <c r="L32" s="35"/>
      <c r="N32" s="54">
        <f>SUM(C19:L28)</f>
        <v>33</v>
      </c>
      <c r="O32" s="35"/>
      <c r="P32" s="35"/>
      <c r="Q32" s="35"/>
      <c r="R32" s="35"/>
      <c r="T32" s="50">
        <f>SUM(M19:V28)</f>
        <v>51</v>
      </c>
      <c r="U32" s="35"/>
      <c r="V32" s="35"/>
      <c r="W32" s="35"/>
    </row>
  </sheetData>
  <sheetProtection password="E532" sheet="1" selectLockedCells="1" selectUnlockedCells="1"/>
  <mergeCells count="14">
    <mergeCell ref="A2:W2"/>
    <mergeCell ref="H31:L31"/>
    <mergeCell ref="A3:W3"/>
    <mergeCell ref="B31:F31"/>
    <mergeCell ref="N32:R32"/>
    <mergeCell ref="A7:W7"/>
    <mergeCell ref="B32:F32"/>
    <mergeCell ref="N31:R31"/>
    <mergeCell ref="C5:L5"/>
    <mergeCell ref="T32:W32"/>
    <mergeCell ref="A18:W18"/>
    <mergeCell ref="M5:V5"/>
    <mergeCell ref="T31:W31"/>
    <mergeCell ref="H32:L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workbookViewId="0"/>
  </sheetViews>
  <sheetFormatPr baseColWidth="10" defaultColWidth="9.140625" defaultRowHeight="15" x14ac:dyDescent="0.25"/>
  <cols>
    <col min="1" max="1" width="13" customWidth="1"/>
    <col min="2" max="2" width="14" customWidth="1"/>
    <col min="3" max="3" width="48" customWidth="1"/>
    <col min="4" max="4" width="28" customWidth="1"/>
    <col min="5" max="5" width="13" customWidth="1"/>
    <col min="6" max="7" width="15" customWidth="1"/>
    <col min="8" max="8" width="30" customWidth="1"/>
    <col min="9" max="9" width="14" customWidth="1"/>
  </cols>
  <sheetData>
    <row r="2" spans="1:9" ht="36" customHeight="1" x14ac:dyDescent="0.25">
      <c r="A2" s="37" t="s">
        <v>126</v>
      </c>
      <c r="B2" s="35"/>
      <c r="C2" s="35"/>
      <c r="D2" s="35"/>
      <c r="E2" s="35"/>
      <c r="F2" s="35"/>
      <c r="G2" s="35"/>
      <c r="H2" s="35"/>
      <c r="I2" s="35"/>
    </row>
    <row r="3" spans="1:9" ht="20.100000000000001" customHeight="1" x14ac:dyDescent="0.25">
      <c r="A3" s="34" t="s">
        <v>127</v>
      </c>
      <c r="B3" s="35"/>
      <c r="C3" s="35"/>
      <c r="D3" s="35"/>
      <c r="E3" s="35"/>
      <c r="F3" s="35"/>
      <c r="G3" s="35"/>
      <c r="H3" s="35"/>
      <c r="I3" s="35"/>
    </row>
    <row r="5" spans="1:9" ht="24" customHeight="1" x14ac:dyDescent="0.3">
      <c r="A5" s="59" t="s">
        <v>128</v>
      </c>
      <c r="B5" s="35"/>
      <c r="C5" s="35"/>
      <c r="D5" s="35"/>
      <c r="E5" s="35"/>
      <c r="F5" s="35"/>
      <c r="G5" s="35"/>
      <c r="H5" s="35"/>
      <c r="I5" s="35"/>
    </row>
    <row r="6" spans="1:9" ht="21.95" customHeight="1" x14ac:dyDescent="0.25">
      <c r="A6" s="6" t="s">
        <v>129</v>
      </c>
      <c r="B6" s="6" t="s">
        <v>130</v>
      </c>
      <c r="C6" s="7" t="s">
        <v>131</v>
      </c>
      <c r="D6" s="7" t="s">
        <v>132</v>
      </c>
      <c r="E6" s="6" t="s">
        <v>133</v>
      </c>
      <c r="F6" s="8" t="s">
        <v>134</v>
      </c>
      <c r="G6" s="8" t="s">
        <v>135</v>
      </c>
      <c r="H6" s="7" t="s">
        <v>136</v>
      </c>
      <c r="I6" s="6" t="s">
        <v>137</v>
      </c>
    </row>
    <row r="7" spans="1:9" ht="20.100000000000001" customHeight="1" x14ac:dyDescent="0.25">
      <c r="A7" s="9" t="s">
        <v>138</v>
      </c>
      <c r="B7" s="5" t="s">
        <v>139</v>
      </c>
      <c r="C7" s="10" t="s">
        <v>140</v>
      </c>
      <c r="D7" s="10" t="s">
        <v>141</v>
      </c>
      <c r="E7" s="28" t="s">
        <v>142</v>
      </c>
      <c r="F7" s="30">
        <v>45000</v>
      </c>
      <c r="G7" s="30">
        <v>60000</v>
      </c>
      <c r="H7" s="10" t="s">
        <v>143</v>
      </c>
      <c r="I7" s="31" t="s">
        <v>144</v>
      </c>
    </row>
    <row r="8" spans="1:9" ht="20.100000000000001" customHeight="1" x14ac:dyDescent="0.25">
      <c r="A8" s="9" t="s">
        <v>145</v>
      </c>
      <c r="B8" s="5" t="s">
        <v>146</v>
      </c>
      <c r="C8" s="10" t="s">
        <v>147</v>
      </c>
      <c r="D8" s="10" t="s">
        <v>148</v>
      </c>
      <c r="E8" s="28" t="s">
        <v>149</v>
      </c>
      <c r="F8" s="30">
        <v>25000</v>
      </c>
      <c r="G8" s="30">
        <v>35000</v>
      </c>
      <c r="H8" s="10" t="s">
        <v>150</v>
      </c>
      <c r="I8" s="31" t="s">
        <v>144</v>
      </c>
    </row>
    <row r="9" spans="1:9" ht="20.100000000000001" customHeight="1" x14ac:dyDescent="0.25">
      <c r="A9" s="9" t="s">
        <v>151</v>
      </c>
      <c r="B9" s="5" t="s">
        <v>152</v>
      </c>
      <c r="C9" s="10" t="s">
        <v>153</v>
      </c>
      <c r="D9" s="10" t="s">
        <v>154</v>
      </c>
      <c r="E9" s="28" t="s">
        <v>155</v>
      </c>
      <c r="F9" s="30">
        <v>40000</v>
      </c>
      <c r="G9" s="30">
        <v>15000</v>
      </c>
      <c r="H9" s="10" t="s">
        <v>156</v>
      </c>
      <c r="I9" s="31" t="s">
        <v>157</v>
      </c>
    </row>
    <row r="10" spans="1:9" ht="21.95" customHeight="1" x14ac:dyDescent="0.25">
      <c r="A10" s="58" t="s">
        <v>158</v>
      </c>
      <c r="B10" s="35"/>
      <c r="C10" s="35"/>
      <c r="D10" s="35"/>
      <c r="E10" s="35"/>
      <c r="F10" s="32">
        <f>SUM(F7:F9)</f>
        <v>110000</v>
      </c>
      <c r="G10" s="32">
        <f>SUM(G7:G9)</f>
        <v>110000</v>
      </c>
      <c r="H10" s="14"/>
      <c r="I10" s="14"/>
    </row>
    <row r="12" spans="1:9" ht="24" customHeight="1" x14ac:dyDescent="0.3">
      <c r="A12" s="61" t="s">
        <v>159</v>
      </c>
      <c r="B12" s="35"/>
      <c r="C12" s="35"/>
      <c r="D12" s="35"/>
      <c r="E12" s="35"/>
      <c r="F12" s="35"/>
      <c r="G12" s="35"/>
      <c r="H12" s="35"/>
      <c r="I12" s="35"/>
    </row>
    <row r="13" spans="1:9" ht="21.95" customHeight="1" x14ac:dyDescent="0.25">
      <c r="A13" s="6" t="s">
        <v>129</v>
      </c>
      <c r="B13" s="6" t="s">
        <v>130</v>
      </c>
      <c r="C13" s="7" t="s">
        <v>131</v>
      </c>
      <c r="D13" s="7" t="s">
        <v>132</v>
      </c>
      <c r="E13" s="6" t="s">
        <v>133</v>
      </c>
      <c r="F13" s="8" t="s">
        <v>134</v>
      </c>
      <c r="G13" s="8" t="s">
        <v>135</v>
      </c>
      <c r="H13" s="7" t="s">
        <v>136</v>
      </c>
      <c r="I13" s="6" t="s">
        <v>137</v>
      </c>
    </row>
    <row r="14" spans="1:9" ht="20.100000000000001" customHeight="1" x14ac:dyDescent="0.25">
      <c r="A14" s="9" t="s">
        <v>160</v>
      </c>
      <c r="B14" s="5" t="s">
        <v>161</v>
      </c>
      <c r="C14" s="10" t="s">
        <v>162</v>
      </c>
      <c r="D14" s="10" t="s">
        <v>163</v>
      </c>
      <c r="E14" s="28" t="s">
        <v>164</v>
      </c>
      <c r="F14" s="30">
        <v>10000</v>
      </c>
      <c r="G14" s="30">
        <v>20000</v>
      </c>
      <c r="H14" s="10" t="s">
        <v>165</v>
      </c>
      <c r="I14" s="31" t="s">
        <v>144</v>
      </c>
    </row>
    <row r="15" spans="1:9" ht="20.100000000000001" customHeight="1" x14ac:dyDescent="0.25">
      <c r="A15" s="9" t="s">
        <v>166</v>
      </c>
      <c r="B15" s="5" t="s">
        <v>167</v>
      </c>
      <c r="C15" s="10" t="s">
        <v>168</v>
      </c>
      <c r="D15" s="10" t="s">
        <v>169</v>
      </c>
      <c r="E15" s="28" t="s">
        <v>155</v>
      </c>
      <c r="F15" s="30">
        <v>35000</v>
      </c>
      <c r="G15" s="30">
        <v>15000</v>
      </c>
      <c r="H15" s="10" t="s">
        <v>170</v>
      </c>
      <c r="I15" s="31" t="s">
        <v>144</v>
      </c>
    </row>
    <row r="16" spans="1:9" ht="21.95" customHeight="1" x14ac:dyDescent="0.25">
      <c r="A16" s="58" t="s">
        <v>171</v>
      </c>
      <c r="B16" s="35"/>
      <c r="C16" s="35"/>
      <c r="D16" s="35"/>
      <c r="E16" s="35"/>
      <c r="F16" s="32">
        <f>SUM(F14:F15)</f>
        <v>45000</v>
      </c>
      <c r="G16" s="32">
        <f>SUM(G14:G15)</f>
        <v>35000</v>
      </c>
      <c r="H16" s="14"/>
      <c r="I16" s="14"/>
    </row>
    <row r="18" spans="1:9" ht="24" customHeight="1" x14ac:dyDescent="0.3">
      <c r="A18" s="60" t="s">
        <v>172</v>
      </c>
      <c r="B18" s="35"/>
      <c r="C18" s="35"/>
      <c r="D18" s="35"/>
      <c r="E18" s="35"/>
      <c r="F18" s="35"/>
      <c r="G18" s="35"/>
      <c r="H18" s="35"/>
      <c r="I18" s="35"/>
    </row>
    <row r="19" spans="1:9" ht="21.95" customHeight="1" x14ac:dyDescent="0.25">
      <c r="A19" s="6" t="s">
        <v>129</v>
      </c>
      <c r="B19" s="6" t="s">
        <v>130</v>
      </c>
      <c r="C19" s="7" t="s">
        <v>131</v>
      </c>
      <c r="D19" s="7" t="s">
        <v>132</v>
      </c>
      <c r="E19" s="6" t="s">
        <v>133</v>
      </c>
      <c r="F19" s="8" t="s">
        <v>134</v>
      </c>
      <c r="G19" s="8" t="s">
        <v>135</v>
      </c>
      <c r="H19" s="7" t="s">
        <v>136</v>
      </c>
      <c r="I19" s="6" t="s">
        <v>137</v>
      </c>
    </row>
    <row r="20" spans="1:9" ht="20.100000000000001" customHeight="1" x14ac:dyDescent="0.25">
      <c r="A20" s="9" t="s">
        <v>173</v>
      </c>
      <c r="B20" s="5" t="s">
        <v>174</v>
      </c>
      <c r="C20" s="10" t="s">
        <v>175</v>
      </c>
      <c r="D20" s="10" t="s">
        <v>176</v>
      </c>
      <c r="E20" s="28" t="s">
        <v>177</v>
      </c>
      <c r="F20" s="30">
        <v>30000</v>
      </c>
      <c r="G20" s="30">
        <v>10000</v>
      </c>
      <c r="H20" s="10" t="s">
        <v>178</v>
      </c>
      <c r="I20" s="31" t="s">
        <v>179</v>
      </c>
    </row>
    <row r="21" spans="1:9" ht="20.100000000000001" customHeight="1" x14ac:dyDescent="0.25">
      <c r="A21" s="9" t="s">
        <v>180</v>
      </c>
      <c r="B21" s="5" t="s">
        <v>181</v>
      </c>
      <c r="C21" s="10" t="s">
        <v>182</v>
      </c>
      <c r="D21" s="10" t="s">
        <v>183</v>
      </c>
      <c r="E21" s="28" t="s">
        <v>184</v>
      </c>
      <c r="F21" s="30">
        <v>0</v>
      </c>
      <c r="G21" s="30">
        <v>45000</v>
      </c>
      <c r="H21" s="10" t="s">
        <v>185</v>
      </c>
      <c r="I21" s="31" t="s">
        <v>144</v>
      </c>
    </row>
    <row r="22" spans="1:9" ht="21.95" customHeight="1" x14ac:dyDescent="0.25">
      <c r="A22" s="58" t="s">
        <v>186</v>
      </c>
      <c r="B22" s="35"/>
      <c r="C22" s="35"/>
      <c r="D22" s="35"/>
      <c r="E22" s="35"/>
      <c r="F22" s="32">
        <f>SUM(F20:F21)</f>
        <v>30000</v>
      </c>
      <c r="G22" s="32">
        <f>SUM(G20:G21)</f>
        <v>55000</v>
      </c>
      <c r="H22" s="14"/>
      <c r="I22" s="14"/>
    </row>
    <row r="24" spans="1:9" ht="24" customHeight="1" x14ac:dyDescent="0.3">
      <c r="A24" s="62" t="s">
        <v>187</v>
      </c>
      <c r="B24" s="35"/>
      <c r="C24" s="35"/>
      <c r="D24" s="35"/>
      <c r="E24" s="35"/>
      <c r="F24" s="35"/>
      <c r="G24" s="35"/>
      <c r="H24" s="35"/>
      <c r="I24" s="35"/>
    </row>
    <row r="25" spans="1:9" ht="21.95" customHeight="1" x14ac:dyDescent="0.25">
      <c r="A25" s="6" t="s">
        <v>129</v>
      </c>
      <c r="B25" s="6" t="s">
        <v>130</v>
      </c>
      <c r="C25" s="7" t="s">
        <v>131</v>
      </c>
      <c r="D25" s="7" t="s">
        <v>132</v>
      </c>
      <c r="E25" s="6" t="s">
        <v>133</v>
      </c>
      <c r="F25" s="8" t="s">
        <v>134</v>
      </c>
      <c r="G25" s="8" t="s">
        <v>135</v>
      </c>
      <c r="H25" s="7" t="s">
        <v>136</v>
      </c>
      <c r="I25" s="6" t="s">
        <v>137</v>
      </c>
    </row>
    <row r="26" spans="1:9" ht="20.100000000000001" customHeight="1" x14ac:dyDescent="0.25">
      <c r="A26" s="9" t="s">
        <v>188</v>
      </c>
      <c r="B26" s="5" t="s">
        <v>189</v>
      </c>
      <c r="C26" s="10" t="s">
        <v>190</v>
      </c>
      <c r="D26" s="10" t="s">
        <v>191</v>
      </c>
      <c r="E26" s="28" t="s">
        <v>149</v>
      </c>
      <c r="F26" s="30">
        <v>65000</v>
      </c>
      <c r="G26" s="30">
        <v>40000</v>
      </c>
      <c r="H26" s="10" t="s">
        <v>192</v>
      </c>
      <c r="I26" s="31" t="s">
        <v>144</v>
      </c>
    </row>
    <row r="27" spans="1:9" ht="20.100000000000001" customHeight="1" x14ac:dyDescent="0.25">
      <c r="A27" s="9" t="s">
        <v>193</v>
      </c>
      <c r="B27" s="5" t="s">
        <v>194</v>
      </c>
      <c r="C27" s="10" t="s">
        <v>195</v>
      </c>
      <c r="D27" s="10" t="s">
        <v>141</v>
      </c>
      <c r="E27" s="28" t="s">
        <v>142</v>
      </c>
      <c r="F27" s="30">
        <v>20000</v>
      </c>
      <c r="G27" s="30">
        <v>30000</v>
      </c>
      <c r="H27" s="10" t="s">
        <v>196</v>
      </c>
      <c r="I27" s="31" t="s">
        <v>144</v>
      </c>
    </row>
    <row r="28" spans="1:9" ht="21.95" customHeight="1" x14ac:dyDescent="0.25">
      <c r="A28" s="58" t="s">
        <v>197</v>
      </c>
      <c r="B28" s="35"/>
      <c r="C28" s="35"/>
      <c r="D28" s="35"/>
      <c r="E28" s="35"/>
      <c r="F28" s="32">
        <f>SUM(F26:F27)</f>
        <v>85000</v>
      </c>
      <c r="G28" s="32">
        <f>SUM(G26:G27)</f>
        <v>70000</v>
      </c>
      <c r="H28" s="14"/>
      <c r="I28" s="14"/>
    </row>
    <row r="30" spans="1:9" ht="27.95" customHeight="1" x14ac:dyDescent="0.25">
      <c r="A30" s="57" t="s">
        <v>198</v>
      </c>
      <c r="B30" s="35"/>
      <c r="C30" s="35"/>
      <c r="D30" s="35"/>
      <c r="E30" s="35"/>
      <c r="F30" s="33">
        <f>F10+F16+F22+F28</f>
        <v>270000</v>
      </c>
      <c r="G30" s="33">
        <f>G10+G16+G22+G28</f>
        <v>270000</v>
      </c>
      <c r="H30" s="63">
        <f>F30+G30</f>
        <v>540000</v>
      </c>
      <c r="I30" s="35"/>
    </row>
  </sheetData>
  <sheetProtection password="E532" sheet="1" selectLockedCells="1" selectUnlockedCells="1"/>
  <mergeCells count="12">
    <mergeCell ref="A30:E30"/>
    <mergeCell ref="A2:I2"/>
    <mergeCell ref="A16:E16"/>
    <mergeCell ref="A5:I5"/>
    <mergeCell ref="A10:E10"/>
    <mergeCell ref="A28:E28"/>
    <mergeCell ref="A18:I18"/>
    <mergeCell ref="A3:I3"/>
    <mergeCell ref="A12:I12"/>
    <mergeCell ref="A22:E22"/>
    <mergeCell ref="A24:I24"/>
    <mergeCell ref="H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Ejecutivo</vt:lpstr>
      <vt:lpstr>Evaluación FODA</vt:lpstr>
      <vt:lpstr>Matriz de Cruce</vt:lpstr>
      <vt:lpstr>Plan CAME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Alaez Riaño</cp:lastModifiedBy>
  <dcterms:created xsi:type="dcterms:W3CDTF">2026-09-07T16:45:25Z</dcterms:created>
  <dcterms:modified xsi:type="dcterms:W3CDTF">2026-09-10T06:21:10Z</dcterms:modified>
</cp:coreProperties>
</file>